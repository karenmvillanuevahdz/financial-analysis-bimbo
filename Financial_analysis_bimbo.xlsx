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karen\OneDrive\Escritorio\FINANCIAL ANALYST\"/>
    </mc:Choice>
  </mc:AlternateContent>
  <xr:revisionPtr revIDLastSave="0" documentId="13_ncr:1_{F6B0D799-3406-48E4-A9D9-5A51447D507B}" xr6:coauthVersionLast="47" xr6:coauthVersionMax="47" xr10:uidLastSave="{00000000-0000-0000-0000-000000000000}"/>
  <bookViews>
    <workbookView xWindow="-19310" yWindow="440" windowWidth="19420" windowHeight="10300" activeTab="3" xr2:uid="{669C4787-47A3-4381-8646-27DBF080964A}"/>
  </bookViews>
  <sheets>
    <sheet name="Income statement" sheetId="1" r:id="rId1"/>
    <sheet name="Balance Sheet" sheetId="2" r:id="rId2"/>
    <sheet name="Financial Ratios" sheetId="3" r:id="rId3"/>
    <sheet name="Charts" sheetId="4" r:id="rId4"/>
    <sheet name="Summary" sheetId="5" r:id="rId5"/>
  </sheets>
  <definedNames>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E5" i="3"/>
  <c r="C5" i="3"/>
  <c r="E9" i="3"/>
  <c r="D9" i="3"/>
  <c r="D8" i="3"/>
  <c r="E8" i="3"/>
  <c r="C8" i="3"/>
  <c r="D7" i="3"/>
  <c r="E7" i="3"/>
  <c r="C7" i="3"/>
  <c r="C6" i="3"/>
  <c r="D6" i="3"/>
  <c r="E6" i="3"/>
  <c r="D4" i="3"/>
  <c r="E4" i="3"/>
  <c r="C4" i="3"/>
  <c r="D3" i="3"/>
  <c r="E3" i="3"/>
  <c r="C3" i="3"/>
  <c r="C47" i="2"/>
  <c r="D47" i="2"/>
  <c r="B47" i="2"/>
  <c r="B42" i="2"/>
  <c r="C33" i="2"/>
  <c r="C42" i="2" s="1"/>
  <c r="D33" i="2"/>
  <c r="D42" i="2" s="1"/>
  <c r="B33" i="2"/>
  <c r="C11" i="2"/>
  <c r="C22" i="2" s="1"/>
  <c r="D11" i="2"/>
  <c r="D22" i="2" s="1"/>
  <c r="B11" i="2"/>
  <c r="B22" i="2" s="1"/>
  <c r="C26" i="1"/>
  <c r="D26" i="1"/>
  <c r="B26" i="1"/>
  <c r="C20" i="1"/>
  <c r="D20" i="1"/>
  <c r="B20" i="1"/>
  <c r="C7" i="1"/>
  <c r="C14" i="1" s="1"/>
  <c r="D7" i="1"/>
  <c r="D14" i="1" s="1"/>
  <c r="B7" i="1"/>
  <c r="B14" i="1" s="1"/>
  <c r="B22" i="1" s="1"/>
  <c r="D22" i="1" l="1"/>
  <c r="D28" i="1" s="1"/>
  <c r="C22" i="1"/>
  <c r="C28" i="1" s="1"/>
  <c r="B28" i="1"/>
</calcChain>
</file>

<file path=xl/sharedStrings.xml><?xml version="1.0" encoding="utf-8"?>
<sst xmlns="http://schemas.openxmlformats.org/spreadsheetml/2006/main" count="138" uniqueCount="106">
  <si>
    <t>Revenue</t>
  </si>
  <si>
    <t>Cost of sales</t>
  </si>
  <si>
    <t>Gross Profit</t>
  </si>
  <si>
    <t>Distribution and selling Expenses</t>
  </si>
  <si>
    <t>Administrative Expenses</t>
  </si>
  <si>
    <t>Integration Expenses</t>
  </si>
  <si>
    <t>Othe Income (Expenses), Net</t>
  </si>
  <si>
    <t>Sales</t>
  </si>
  <si>
    <t>Operating Expenses</t>
  </si>
  <si>
    <t>Interest Expense</t>
  </si>
  <si>
    <t xml:space="preserve">Interest Income </t>
  </si>
  <si>
    <t>Foreign Exhange Loss, Net</t>
  </si>
  <si>
    <t xml:space="preserve">Monetary Position Gain </t>
  </si>
  <si>
    <t>Comprehensive Financing Result</t>
  </si>
  <si>
    <t>Share of Results of Associates</t>
  </si>
  <si>
    <t>EBIT</t>
  </si>
  <si>
    <t>Current Income Tax</t>
  </si>
  <si>
    <t>Deferred Tax</t>
  </si>
  <si>
    <t>Income Tax</t>
  </si>
  <si>
    <t xml:space="preserve">Net Income </t>
  </si>
  <si>
    <t>Controlling Interest</t>
  </si>
  <si>
    <t>Non Controlling Interest</t>
  </si>
  <si>
    <t>Basic Earning per Share</t>
  </si>
  <si>
    <t xml:space="preserve">Divident Per Share </t>
  </si>
  <si>
    <t>Adjusted EBITDA</t>
  </si>
  <si>
    <t>EBITDA</t>
  </si>
  <si>
    <t>Income statement Grupo Bimbo</t>
  </si>
  <si>
    <t>Net income from discontinued operations (after Tax)</t>
  </si>
  <si>
    <t>Balance Sheet Grupo Bimbo</t>
  </si>
  <si>
    <t>Assets</t>
  </si>
  <si>
    <t>Cash and Cash Equivalents</t>
  </si>
  <si>
    <t>Accounts Receivable and Other Receivables, Net</t>
  </si>
  <si>
    <t xml:space="preserve">Inventories </t>
  </si>
  <si>
    <t>Prepaid Expenses</t>
  </si>
  <si>
    <t>Derivative Financial Instruments</t>
  </si>
  <si>
    <t>Derivative Margin Deposits</t>
  </si>
  <si>
    <t>Assets Held for Sale</t>
  </si>
  <si>
    <t>Total Current Assets</t>
  </si>
  <si>
    <t>Right of Use Assets, Net</t>
  </si>
  <si>
    <t>Investment in Associates</t>
  </si>
  <si>
    <t>Deferred Income Tax Assets</t>
  </si>
  <si>
    <t>Intangible Assets, Net</t>
  </si>
  <si>
    <t>GoodWill</t>
  </si>
  <si>
    <t>Other Assets, Net</t>
  </si>
  <si>
    <t>Total Assets</t>
  </si>
  <si>
    <t>Current Portion of Long Term Debt</t>
  </si>
  <si>
    <t>Accounts Payable</t>
  </si>
  <si>
    <t>Other Payables and Accrued liabilities</t>
  </si>
  <si>
    <t>Lease Liabilities</t>
  </si>
  <si>
    <t>Payables to related Parties</t>
  </si>
  <si>
    <t>Total Current liabilities</t>
  </si>
  <si>
    <t>Long Term Debt</t>
  </si>
  <si>
    <t>Lease liabilities (Non current)</t>
  </si>
  <si>
    <t>Derivative financial instruments</t>
  </si>
  <si>
    <t>Employee Benefitss Obligations</t>
  </si>
  <si>
    <t>Deferred Income Tax liabilities</t>
  </si>
  <si>
    <t>Other Long term liabilities</t>
  </si>
  <si>
    <t>Total liabilities</t>
  </si>
  <si>
    <t>Controlling interest</t>
  </si>
  <si>
    <t>non controlling interest</t>
  </si>
  <si>
    <t>Total Equity</t>
  </si>
  <si>
    <t>Equity</t>
  </si>
  <si>
    <t>Property,  plant and Equipment, Net</t>
  </si>
  <si>
    <t>Non-Current Assets</t>
  </si>
  <si>
    <t>Current Liabilities</t>
  </si>
  <si>
    <t>Non-Current Liabilities</t>
  </si>
  <si>
    <t>Income Taxes Payable</t>
  </si>
  <si>
    <t>Employee Profit Sharing</t>
  </si>
  <si>
    <t>Financial Ratios</t>
  </si>
  <si>
    <t>Ratio</t>
  </si>
  <si>
    <t xml:space="preserve">Current Ratio </t>
  </si>
  <si>
    <t>ROA</t>
  </si>
  <si>
    <t>Debt to equity</t>
  </si>
  <si>
    <t xml:space="preserve">Gross Margin </t>
  </si>
  <si>
    <t xml:space="preserve">Operating Margin </t>
  </si>
  <si>
    <t xml:space="preserve">Net Margin </t>
  </si>
  <si>
    <t xml:space="preserve">Revenue Growth </t>
  </si>
  <si>
    <t>Category</t>
  </si>
  <si>
    <t>Liquidity</t>
  </si>
  <si>
    <t>Solvency</t>
  </si>
  <si>
    <t>Profitability</t>
  </si>
  <si>
    <t>Growth</t>
  </si>
  <si>
    <t>Value</t>
  </si>
  <si>
    <t xml:space="preserve">Gross margin </t>
  </si>
  <si>
    <t>Operating Margin</t>
  </si>
  <si>
    <t>Row Labels</t>
  </si>
  <si>
    <t>Sum of Value</t>
  </si>
  <si>
    <t/>
  </si>
  <si>
    <t>Year</t>
  </si>
  <si>
    <t>Current Ratio</t>
  </si>
  <si>
    <t>2022</t>
  </si>
  <si>
    <t>2023</t>
  </si>
  <si>
    <t>2024</t>
  </si>
  <si>
    <t>Profitability declined significantly from 2022 to 2024, as both operating and net margins decreased, despite stable gross margins.</t>
  </si>
  <si>
    <t>The company increased its leverage over time, as shown by the rising debt-to-equity ratio, which may indicate higher financial risk.</t>
  </si>
  <si>
    <t>The current ratio remained below 1 in all periods, suggesting potential short-term liquidity pressure.</t>
  </si>
  <si>
    <t>Return on Assets (ROA) declined sharply, reflecting lower efficiency in generating profits from assets.</t>
  </si>
  <si>
    <t>Revenue growth remained positive but modest, indicating limited expansion despite increasing financial leverage.</t>
  </si>
  <si>
    <t>Conclusion:</t>
  </si>
  <si>
    <t>Key insights:</t>
  </si>
  <si>
    <r>
      <t xml:space="preserve">The company shows </t>
    </r>
    <r>
      <rPr>
        <b/>
        <sz val="11"/>
        <color theme="1"/>
        <rFont val="Aptos Narrow"/>
        <family val="2"/>
        <scheme val="minor"/>
      </rPr>
      <t>stable</t>
    </r>
    <r>
      <rPr>
        <sz val="11"/>
        <color theme="1"/>
        <rFont val="Aptos Narrow"/>
        <family val="2"/>
        <scheme val="minor"/>
      </rPr>
      <t xml:space="preserve"> operational performance, as reflected in consistent gross margins. However, profitability has </t>
    </r>
    <r>
      <rPr>
        <b/>
        <sz val="11"/>
        <color theme="1"/>
        <rFont val="Aptos Narrow"/>
        <family val="2"/>
        <scheme val="minor"/>
      </rPr>
      <t xml:space="preserve">declined </t>
    </r>
    <r>
      <rPr>
        <sz val="11"/>
        <color theme="1"/>
        <rFont val="Aptos Narrow"/>
        <family val="2"/>
        <scheme val="minor"/>
      </rPr>
      <t>due to increasing operating and financial pressures. At the same time, rising leverage and low liquidity levels suggest</t>
    </r>
    <r>
      <rPr>
        <b/>
        <sz val="11"/>
        <color theme="1"/>
        <rFont val="Aptos Narrow"/>
        <family val="2"/>
        <scheme val="minor"/>
      </rPr>
      <t xml:space="preserve"> higher financial risk</t>
    </r>
    <r>
      <rPr>
        <sz val="11"/>
        <color theme="1"/>
        <rFont val="Aptos Narrow"/>
        <family val="2"/>
        <scheme val="minor"/>
      </rPr>
      <t>. Although revenue continues to grow, the pace remains moderate, indicating</t>
    </r>
    <r>
      <rPr>
        <b/>
        <sz val="11"/>
        <color theme="1"/>
        <rFont val="Aptos Narrow"/>
        <family val="2"/>
        <scheme val="minor"/>
      </rPr>
      <t xml:space="preserve"> limited expansion.</t>
    </r>
  </si>
  <si>
    <t>Recommendations:</t>
  </si>
  <si>
    <t>• Improve cost control to stabilize operating and net margins</t>
  </si>
  <si>
    <t>• Evaluate debt levels to reduce financial risk and improve capital structure</t>
  </si>
  <si>
    <t>• Strengthen liquidity position to ensure short-term financial stability</t>
  </si>
  <si>
    <t>• Explore growth opportunities to accelerate revenue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</si>
</sst>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b/>
      <i/>
      <sz val="13"/>
      <color theme="1"/>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4"/>
        <bgColor indexed="64"/>
      </patternFill>
    </fill>
    <fill>
      <patternFill patternType="solid">
        <fgColor theme="0"/>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67">
    <xf numFmtId="0" fontId="0" fillId="0" borderId="0" xfId="0"/>
    <xf numFmtId="0" fontId="0" fillId="0" borderId="1" xfId="0" applyBorder="1"/>
    <xf numFmtId="0" fontId="2" fillId="0" borderId="1" xfId="0" applyFont="1" applyBorder="1" applyAlignment="1">
      <alignment horizontal="center" vertical="center"/>
    </xf>
    <xf numFmtId="0" fontId="3" fillId="0" borderId="1" xfId="0" applyFont="1" applyBorder="1"/>
    <xf numFmtId="0" fontId="0" fillId="0" borderId="5" xfId="0" applyBorder="1"/>
    <xf numFmtId="0" fontId="3" fillId="0" borderId="2" xfId="0" applyFont="1" applyBorder="1"/>
    <xf numFmtId="3" fontId="0" fillId="0" borderId="5" xfId="0" applyNumberFormat="1" applyBorder="1" applyAlignment="1">
      <alignment horizontal="center" vertical="center"/>
    </xf>
    <xf numFmtId="3" fontId="0" fillId="0" borderId="1" xfId="0" applyNumberFormat="1" applyBorder="1" applyAlignment="1">
      <alignment horizontal="center" vertical="center"/>
    </xf>
    <xf numFmtId="2" fontId="0" fillId="0" borderId="0" xfId="0" applyNumberFormat="1"/>
    <xf numFmtId="0" fontId="0" fillId="0" borderId="1" xfId="0" applyBorder="1" applyAlignment="1">
      <alignment wrapText="1"/>
    </xf>
    <xf numFmtId="4" fontId="0" fillId="0" borderId="1" xfId="0" applyNumberFormat="1" applyBorder="1" applyAlignment="1">
      <alignment horizontal="center" vertical="center"/>
    </xf>
    <xf numFmtId="0" fontId="2" fillId="2" borderId="1" xfId="0" applyFont="1" applyFill="1" applyBorder="1"/>
    <xf numFmtId="3" fontId="2" fillId="2" borderId="1" xfId="0" applyNumberFormat="1" applyFont="1" applyFill="1" applyBorder="1" applyAlignment="1">
      <alignment horizontal="center" vertical="center"/>
    </xf>
    <xf numFmtId="0" fontId="2" fillId="2" borderId="12" xfId="0" applyFont="1" applyFill="1" applyBorder="1" applyAlignment="1">
      <alignment horizontal="center" vertical="center"/>
    </xf>
    <xf numFmtId="0" fontId="3" fillId="0" borderId="1" xfId="0" applyFont="1" applyBorder="1" applyAlignment="1">
      <alignment horizontal="left" vertical="center"/>
    </xf>
    <xf numFmtId="0" fontId="2" fillId="4" borderId="1" xfId="0" applyFont="1" applyFill="1" applyBorder="1"/>
    <xf numFmtId="3" fontId="0" fillId="4" borderId="1" xfId="0" applyNumberFormat="1" applyFill="1" applyBorder="1"/>
    <xf numFmtId="0" fontId="0" fillId="0" borderId="1" xfId="0" applyBorder="1" applyAlignment="1">
      <alignment horizontal="center" vertical="center"/>
    </xf>
    <xf numFmtId="2" fontId="0" fillId="0" borderId="1" xfId="0" applyNumberFormat="1" applyBorder="1"/>
    <xf numFmtId="164" fontId="0" fillId="0" borderId="1" xfId="1" applyNumberFormat="1" applyFont="1" applyBorder="1"/>
    <xf numFmtId="164" fontId="0" fillId="0" borderId="1" xfId="0" applyNumberFormat="1" applyBorder="1"/>
    <xf numFmtId="0" fontId="0" fillId="0" borderId="0" xfId="0" pivotButton="1"/>
    <xf numFmtId="0" fontId="0" fillId="0" borderId="0" xfId="0" applyAlignment="1">
      <alignment horizontal="left"/>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8" xfId="0" applyBorder="1"/>
    <xf numFmtId="164" fontId="0" fillId="0" borderId="2" xfId="0" applyNumberFormat="1" applyBorder="1" applyAlignment="1">
      <alignment horizontal="center" vertical="center"/>
    </xf>
    <xf numFmtId="2" fontId="0" fillId="0" borderId="2" xfId="0" applyNumberFormat="1" applyBorder="1" applyAlignment="1">
      <alignment horizontal="center" vertical="center"/>
    </xf>
    <xf numFmtId="164" fontId="0" fillId="0" borderId="7" xfId="0" applyNumberFormat="1" applyBorder="1" applyAlignment="1">
      <alignment horizontal="center" vertical="center"/>
    </xf>
    <xf numFmtId="10" fontId="0" fillId="0" borderId="7" xfId="0" applyNumberFormat="1" applyBorder="1" applyAlignment="1">
      <alignment horizontal="center" vertical="center"/>
    </xf>
    <xf numFmtId="0" fontId="0" fillId="0" borderId="4" xfId="0" applyBorder="1"/>
    <xf numFmtId="2" fontId="0" fillId="0" borderId="2" xfId="0" applyNumberFormat="1" applyBorder="1"/>
    <xf numFmtId="164" fontId="0" fillId="0" borderId="2" xfId="0" applyNumberFormat="1" applyBorder="1"/>
    <xf numFmtId="164" fontId="0" fillId="0" borderId="2" xfId="1" applyNumberFormat="1" applyFont="1" applyBorder="1"/>
    <xf numFmtId="0" fontId="0" fillId="0" borderId="13" xfId="0" applyBorder="1"/>
    <xf numFmtId="10" fontId="0" fillId="0" borderId="13" xfId="1" applyNumberFormat="1" applyFont="1" applyBorder="1"/>
    <xf numFmtId="10" fontId="0" fillId="0" borderId="7" xfId="1" applyNumberFormat="1" applyFont="1" applyBorder="1"/>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0" fillId="0" borderId="1" xfId="0" applyBorder="1" applyAlignment="1">
      <alignment vertical="center" wrapText="1"/>
    </xf>
    <xf numFmtId="0" fontId="4" fillId="7" borderId="1" xfId="0" applyFont="1" applyFill="1" applyBorder="1" applyAlignment="1">
      <alignment wrapText="1"/>
    </xf>
    <xf numFmtId="0" fontId="4" fillId="7" borderId="0" xfId="0" applyFont="1" applyFill="1"/>
    <xf numFmtId="0" fontId="0" fillId="0" borderId="1" xfId="0" applyBorder="1" applyAlignment="1">
      <alignmen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3"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6" borderId="0" xfId="0" applyFill="1" applyAlignment="1">
      <alignment horizontal="center" vertical="center"/>
    </xf>
    <xf numFmtId="0" fontId="0" fillId="0" borderId="0" xfId="0" applyNumberFormat="1"/>
  </cellXfs>
  <cellStyles count="2">
    <cellStyle name="Normal" xfId="0" builtinId="0"/>
    <cellStyle name="Percent" xfId="1" builtinId="5"/>
  </cellStyles>
  <dxfs count="16">
    <dxf>
      <font>
        <b val="0"/>
        <i val="0"/>
        <strike val="0"/>
        <condense val="0"/>
        <extend val="0"/>
        <outline val="0"/>
        <shadow val="0"/>
        <u val="none"/>
        <vertAlign val="baseline"/>
        <sz val="11"/>
        <color theme="1"/>
        <name val="Aptos Narrow"/>
        <family val="2"/>
        <scheme val="minor"/>
      </font>
      <numFmt numFmtId="164" formatCode="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4" formatCode="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4" formatCode="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 Analysis Statement.xlsx]Financial Ratios!PivotTable6</c:name>
    <c:fmtId val="13"/>
  </c:pivotSource>
  <c:chart>
    <c:autoTitleDeleted val="0"/>
    <c:pivotFmts>
      <c:pivotFmt>
        <c:idx val="0"/>
        <c:spPr>
          <a:solidFill>
            <a:schemeClr val="accent1"/>
          </a:solidFill>
          <a:ln>
            <a:noFill/>
          </a:ln>
          <a:effectLst>
            <a:outerShdw blurRad="50800" dist="38100" algn="l" rotWithShape="0">
              <a:prstClr val="black">
                <a:alpha val="40000"/>
              </a:prstClr>
            </a:outerShdw>
          </a:effectLst>
        </c:spPr>
        <c:marker>
          <c:symbol val="none"/>
        </c:marker>
        <c:dLbl>
          <c:idx val="0"/>
          <c:numFmt formatCode="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algn="l" rotWithShape="0">
              <a:prstClr val="black">
                <a:alpha val="40000"/>
              </a:prstClr>
            </a:outerShdw>
          </a:effectLst>
        </c:spPr>
        <c:marker>
          <c:symbol val="none"/>
        </c:marker>
        <c:dLbl>
          <c:idx val="0"/>
          <c:numFmt formatCode="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algn="l" rotWithShape="0">
              <a:prstClr val="black">
                <a:alpha val="40000"/>
              </a:prstClr>
            </a:outerShdw>
          </a:effectLst>
        </c:spPr>
        <c:marker>
          <c:symbol val="none"/>
        </c:marker>
        <c:dLbl>
          <c:idx val="0"/>
          <c:numFmt formatCode="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7342659868626616E-3"/>
          <c:w val="1"/>
          <c:h val="0.86479187775086741"/>
        </c:manualLayout>
      </c:layout>
      <c:barChart>
        <c:barDir val="col"/>
        <c:grouping val="clustered"/>
        <c:varyColors val="0"/>
        <c:ser>
          <c:idx val="0"/>
          <c:order val="0"/>
          <c:tx>
            <c:strRef>
              <c:f>'Financial Ratios'!$F$20:$F$21</c:f>
              <c:strCache>
                <c:ptCount val="1"/>
                <c:pt idx="0">
                  <c:v>Gross margin </c:v>
                </c:pt>
              </c:strCache>
            </c:strRef>
          </c:tx>
          <c:spPr>
            <a:solidFill>
              <a:schemeClr val="accent1">
                <a:tint val="65000"/>
              </a:schemeClr>
            </a:solidFill>
            <a:ln>
              <a:noFill/>
            </a:ln>
            <a:effectLst>
              <a:outerShdw blurRad="50800" dist="38100" algn="l" rotWithShape="0">
                <a:prstClr val="black">
                  <a:alpha val="40000"/>
                </a:prstClr>
              </a:outerShdw>
            </a:effectLst>
          </c:spPr>
          <c:invertIfNegative val="0"/>
          <c:dLbls>
            <c:numFmt formatCode="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Ratios'!$E$22</c:f>
              <c:strCache>
                <c:ptCount val="1"/>
                <c:pt idx="0">
                  <c:v>Total</c:v>
                </c:pt>
              </c:strCache>
            </c:strRef>
          </c:cat>
          <c:val>
            <c:numRef>
              <c:f>'Financial Ratios'!$F$22</c:f>
              <c:numCache>
                <c:formatCode>General</c:formatCode>
                <c:ptCount val="1"/>
                <c:pt idx="0">
                  <c:v>0.5151189096727915</c:v>
                </c:pt>
              </c:numCache>
            </c:numRef>
          </c:val>
          <c:extLst>
            <c:ext xmlns:c16="http://schemas.microsoft.com/office/drawing/2014/chart" uri="{C3380CC4-5D6E-409C-BE32-E72D297353CC}">
              <c16:uniqueId val="{00000000-0ECD-4B07-8153-21853102207E}"/>
            </c:ext>
          </c:extLst>
        </c:ser>
        <c:ser>
          <c:idx val="1"/>
          <c:order val="1"/>
          <c:tx>
            <c:strRef>
              <c:f>'Financial Ratios'!$G$20:$G$21</c:f>
              <c:strCache>
                <c:ptCount val="1"/>
                <c:pt idx="0">
                  <c:v>Net Margin </c:v>
                </c:pt>
              </c:strCache>
            </c:strRef>
          </c:tx>
          <c:spPr>
            <a:solidFill>
              <a:schemeClr val="accent1"/>
            </a:solidFill>
            <a:ln>
              <a:noFill/>
            </a:ln>
            <a:effectLst>
              <a:outerShdw blurRad="50800" dist="381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Ratios'!$E$22</c:f>
              <c:strCache>
                <c:ptCount val="1"/>
                <c:pt idx="0">
                  <c:v>Total</c:v>
                </c:pt>
              </c:strCache>
            </c:strRef>
          </c:cat>
          <c:val>
            <c:numRef>
              <c:f>'Financial Ratios'!$G$22</c:f>
              <c:numCache>
                <c:formatCode>General</c:formatCode>
                <c:ptCount val="1"/>
                <c:pt idx="0">
                  <c:v>0.12160589507055324</c:v>
                </c:pt>
              </c:numCache>
            </c:numRef>
          </c:val>
          <c:extLst>
            <c:ext xmlns:c16="http://schemas.microsoft.com/office/drawing/2014/chart" uri="{C3380CC4-5D6E-409C-BE32-E72D297353CC}">
              <c16:uniqueId val="{00000001-0ECD-4B07-8153-21853102207E}"/>
            </c:ext>
          </c:extLst>
        </c:ser>
        <c:ser>
          <c:idx val="2"/>
          <c:order val="2"/>
          <c:tx>
            <c:strRef>
              <c:f>'Financial Ratios'!$H$20:$H$21</c:f>
              <c:strCache>
                <c:ptCount val="1"/>
                <c:pt idx="0">
                  <c:v>Operating Margin</c:v>
                </c:pt>
              </c:strCache>
            </c:strRef>
          </c:tx>
          <c:spPr>
            <a:solidFill>
              <a:schemeClr val="accent1">
                <a:shade val="65000"/>
              </a:schemeClr>
            </a:solidFill>
            <a:ln>
              <a:noFill/>
            </a:ln>
            <a:effectLst>
              <a:outerShdw blurRad="50800" dist="381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Ratios'!$E$22</c:f>
              <c:strCache>
                <c:ptCount val="1"/>
                <c:pt idx="0">
                  <c:v>Total</c:v>
                </c:pt>
              </c:strCache>
            </c:strRef>
          </c:cat>
          <c:val>
            <c:numRef>
              <c:f>'Financial Ratios'!$H$22</c:f>
              <c:numCache>
                <c:formatCode>General</c:formatCode>
                <c:ptCount val="1"/>
                <c:pt idx="0">
                  <c:v>0.1346756758112494</c:v>
                </c:pt>
              </c:numCache>
            </c:numRef>
          </c:val>
          <c:extLst>
            <c:ext xmlns:c16="http://schemas.microsoft.com/office/drawing/2014/chart" uri="{C3380CC4-5D6E-409C-BE32-E72D297353CC}">
              <c16:uniqueId val="{00000002-0ECD-4B07-8153-21853102207E}"/>
            </c:ext>
          </c:extLst>
        </c:ser>
        <c:dLbls>
          <c:dLblPos val="outEnd"/>
          <c:showLegendKey val="0"/>
          <c:showVal val="1"/>
          <c:showCatName val="0"/>
          <c:showSerName val="0"/>
          <c:showPercent val="0"/>
          <c:showBubbleSize val="0"/>
        </c:dLbls>
        <c:gapWidth val="219"/>
        <c:overlap val="-27"/>
        <c:axId val="1127362384"/>
        <c:axId val="1127347024"/>
      </c:barChart>
      <c:catAx>
        <c:axId val="1127362384"/>
        <c:scaling>
          <c:orientation val="minMax"/>
        </c:scaling>
        <c:delete val="1"/>
        <c:axPos val="b"/>
        <c:numFmt formatCode="General" sourceLinked="1"/>
        <c:majorTickMark val="none"/>
        <c:minorTickMark val="none"/>
        <c:tickLblPos val="nextTo"/>
        <c:crossAx val="1127347024"/>
        <c:crosses val="autoZero"/>
        <c:auto val="1"/>
        <c:lblAlgn val="ctr"/>
        <c:lblOffset val="100"/>
        <c:noMultiLvlLbl val="0"/>
      </c:catAx>
      <c:valAx>
        <c:axId val="1127347024"/>
        <c:scaling>
          <c:orientation val="minMax"/>
        </c:scaling>
        <c:delete val="1"/>
        <c:axPos val="l"/>
        <c:numFmt formatCode="General" sourceLinked="1"/>
        <c:majorTickMark val="none"/>
        <c:minorTickMark val="none"/>
        <c:tickLblPos val="nextTo"/>
        <c:crossAx val="11273623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[Financial Analysis Statement.xlsx]Financial Ratios!PivotTable7</c:name>
    <c:fmtId val="8"/>
  </c:pivotSource>
  <c:chart>
    <c:autoTitleDeleted val="0"/>
    <c:pivotFmts>
      <c:pivotFmt>
        <c:idx val="0"/>
        <c:spPr>
          <a:solidFill>
            <a:schemeClr val="accent1"/>
          </a:solidFill>
          <a:ln>
            <a:noFill/>
          </a:ln>
          <a:effectLst>
            <a:outerShdw blurRad="50800" dist="38100" algn="l" rotWithShape="0">
              <a:prstClr val="black">
                <a:alpha val="40000"/>
              </a:prstClr>
            </a:outerShdw>
          </a:effectLst>
        </c:spPr>
        <c:marker>
          <c:symbol val="none"/>
        </c:marker>
        <c:dLbl>
          <c:idx val="0"/>
          <c:numFmt formatCode="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a:noFill/>
          </a:ln>
          <a:effectLst>
            <a:outerShdw blurRad="50800" dist="38100" algn="l" rotWithShape="0">
              <a:prstClr val="black">
                <a:alpha val="40000"/>
              </a:prstClr>
            </a:outerShdw>
          </a:effectLst>
        </c:spPr>
        <c:marker>
          <c:symbol val="none"/>
        </c:marker>
        <c:dLbl>
          <c:idx val="0"/>
          <c:numFmt formatCode="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algn="l" rotWithShape="0">
              <a:prstClr val="black">
                <a:alpha val="40000"/>
              </a:prstClr>
            </a:outerShdw>
          </a:effectLst>
        </c:spPr>
        <c:marker>
          <c:symbol val="none"/>
        </c:marker>
        <c:dLbl>
          <c:idx val="0"/>
          <c:numFmt formatCode="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algn="l" rotWithShape="0">
              <a:prstClr val="black">
                <a:alpha val="40000"/>
              </a:prstClr>
            </a:outerShdw>
          </a:effectLst>
        </c:spPr>
        <c:marker>
          <c:symbol val="none"/>
        </c:marker>
        <c:dLbl>
          <c:idx val="0"/>
          <c:numFmt formatCode="0.00_ ;\-0.00\ "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8518518518518517E-2"/>
          <c:w val="0.91813920452182651"/>
          <c:h val="0.82465223097112861"/>
        </c:manualLayout>
      </c:layout>
      <c:barChart>
        <c:barDir val="col"/>
        <c:grouping val="clustered"/>
        <c:varyColors val="0"/>
        <c:ser>
          <c:idx val="0"/>
          <c:order val="0"/>
          <c:tx>
            <c:strRef>
              <c:f>'Financial Ratios'!$F$27:$F$28</c:f>
              <c:strCache>
                <c:ptCount val="1"/>
                <c:pt idx="0">
                  <c:v>Current Ratio</c:v>
                </c:pt>
              </c:strCache>
            </c:strRef>
          </c:tx>
          <c:spPr>
            <a:solidFill>
              <a:schemeClr val="accent1">
                <a:tint val="65000"/>
              </a:schemeClr>
            </a:solidFill>
            <a:ln>
              <a:noFill/>
            </a:ln>
            <a:effectLst>
              <a:outerShdw blurRad="50800" dist="38100" algn="l" rotWithShape="0">
                <a:prstClr val="black">
                  <a:alpha val="40000"/>
                </a:prstClr>
              </a:outerShdw>
            </a:effectLst>
          </c:spPr>
          <c:invertIfNegative val="0"/>
          <c:dLbls>
            <c:numFmt formatCode="0.00_ ;\-0.00\ "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Ratios'!$E$29</c:f>
              <c:strCache>
                <c:ptCount val="1"/>
                <c:pt idx="0">
                  <c:v>2022</c:v>
                </c:pt>
              </c:strCache>
            </c:strRef>
          </c:cat>
          <c:val>
            <c:numRef>
              <c:f>'Financial Ratios'!$F$29</c:f>
              <c:numCache>
                <c:formatCode>General</c:formatCode>
                <c:ptCount val="1"/>
                <c:pt idx="0">
                  <c:v>0.7073127242739653</c:v>
                </c:pt>
              </c:numCache>
            </c:numRef>
          </c:val>
          <c:extLst>
            <c:ext xmlns:c16="http://schemas.microsoft.com/office/drawing/2014/chart" uri="{C3380CC4-5D6E-409C-BE32-E72D297353CC}">
              <c16:uniqueId val="{00000000-971B-4F45-8096-3FB7A706E3A3}"/>
            </c:ext>
          </c:extLst>
        </c:ser>
        <c:ser>
          <c:idx val="1"/>
          <c:order val="1"/>
          <c:tx>
            <c:strRef>
              <c:f>'Financial Ratios'!$G$27:$G$28</c:f>
              <c:strCache>
                <c:ptCount val="1"/>
                <c:pt idx="0">
                  <c:v>Debt to equity</c:v>
                </c:pt>
              </c:strCache>
            </c:strRef>
          </c:tx>
          <c:spPr>
            <a:solidFill>
              <a:schemeClr val="accent1"/>
            </a:solidFill>
            <a:ln>
              <a:noFill/>
            </a:ln>
            <a:effectLst>
              <a:outerShdw blurRad="50800" dist="38100" dir="2700000" algn="tl" rotWithShape="0">
                <a:prstClr val="black">
                  <a:alpha val="40000"/>
                </a:prst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Ratios'!$E$29</c:f>
              <c:strCache>
                <c:ptCount val="1"/>
                <c:pt idx="0">
                  <c:v>2022</c:v>
                </c:pt>
              </c:strCache>
            </c:strRef>
          </c:cat>
          <c:val>
            <c:numRef>
              <c:f>'Financial Ratios'!$G$29</c:f>
              <c:numCache>
                <c:formatCode>General</c:formatCode>
                <c:ptCount val="1"/>
                <c:pt idx="0">
                  <c:v>1.7253804799297816</c:v>
                </c:pt>
              </c:numCache>
            </c:numRef>
          </c:val>
          <c:extLst>
            <c:ext xmlns:c16="http://schemas.microsoft.com/office/drawing/2014/chart" uri="{C3380CC4-5D6E-409C-BE32-E72D297353CC}">
              <c16:uniqueId val="{00000001-971B-4F45-8096-3FB7A706E3A3}"/>
            </c:ext>
          </c:extLst>
        </c:ser>
        <c:ser>
          <c:idx val="2"/>
          <c:order val="2"/>
          <c:tx>
            <c:strRef>
              <c:f>'Financial Ratios'!$H$27:$H$28</c:f>
              <c:strCache>
                <c:ptCount val="1"/>
                <c:pt idx="0">
                  <c:v>ROA</c:v>
                </c:pt>
              </c:strCache>
            </c:strRef>
          </c:tx>
          <c:spPr>
            <a:solidFill>
              <a:schemeClr val="accent1">
                <a:shade val="65000"/>
              </a:schemeClr>
            </a:solidFill>
            <a:ln>
              <a:noFill/>
            </a:ln>
            <a:effectLst>
              <a:outerShdw blurRad="50800" dist="381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Ratios'!$E$29</c:f>
              <c:strCache>
                <c:ptCount val="1"/>
                <c:pt idx="0">
                  <c:v>2022</c:v>
                </c:pt>
              </c:strCache>
            </c:strRef>
          </c:cat>
          <c:val>
            <c:numRef>
              <c:f>'Financial Ratios'!$H$29</c:f>
              <c:numCache>
                <c:formatCode>General</c:formatCode>
                <c:ptCount val="1"/>
                <c:pt idx="0">
                  <c:v>0.13941926133814886</c:v>
                </c:pt>
              </c:numCache>
            </c:numRef>
          </c:val>
          <c:extLst>
            <c:ext xmlns:c16="http://schemas.microsoft.com/office/drawing/2014/chart" uri="{C3380CC4-5D6E-409C-BE32-E72D297353CC}">
              <c16:uniqueId val="{00000002-971B-4F45-8096-3FB7A706E3A3}"/>
            </c:ext>
          </c:extLst>
        </c:ser>
        <c:dLbls>
          <c:dLblPos val="outEnd"/>
          <c:showLegendKey val="0"/>
          <c:showVal val="1"/>
          <c:showCatName val="0"/>
          <c:showSerName val="0"/>
          <c:showPercent val="0"/>
          <c:showBubbleSize val="0"/>
        </c:dLbls>
        <c:gapWidth val="219"/>
        <c:overlap val="-27"/>
        <c:axId val="1127362384"/>
        <c:axId val="1127347024"/>
      </c:barChart>
      <c:catAx>
        <c:axId val="1127362384"/>
        <c:scaling>
          <c:orientation val="minMax"/>
        </c:scaling>
        <c:delete val="1"/>
        <c:axPos val="b"/>
        <c:numFmt formatCode="General" sourceLinked="1"/>
        <c:majorTickMark val="none"/>
        <c:minorTickMark val="none"/>
        <c:tickLblPos val="nextTo"/>
        <c:crossAx val="1127347024"/>
        <c:crosses val="autoZero"/>
        <c:auto val="1"/>
        <c:lblAlgn val="ctr"/>
        <c:lblOffset val="100"/>
        <c:noMultiLvlLbl val="0"/>
      </c:catAx>
      <c:valAx>
        <c:axId val="1127347024"/>
        <c:scaling>
          <c:orientation val="minMax"/>
        </c:scaling>
        <c:delete val="1"/>
        <c:axPos val="l"/>
        <c:numFmt formatCode="General" sourceLinked="1"/>
        <c:majorTickMark val="none"/>
        <c:minorTickMark val="none"/>
        <c:tickLblPos val="nextTo"/>
        <c:crossAx val="112736238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chart>
  <c:spPr>
    <a:noFill/>
    <a:ln w="9525" cap="flat" cmpd="sng" algn="ctr">
      <a:no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314532</xdr:colOff>
      <xdr:row>42</xdr:row>
      <xdr:rowOff>35608</xdr:rowOff>
    </xdr:from>
    <xdr:to>
      <xdr:col>5</xdr:col>
      <xdr:colOff>71215</xdr:colOff>
      <xdr:row>44</xdr:row>
      <xdr:rowOff>154299</xdr:rowOff>
    </xdr:to>
    <xdr:sp macro="" textlink="">
      <xdr:nvSpPr>
        <xdr:cNvPr id="14" name="TextBox 13">
          <a:extLst>
            <a:ext uri="{FF2B5EF4-FFF2-40B4-BE49-F238E27FC236}">
              <a16:creationId xmlns:a16="http://schemas.microsoft.com/office/drawing/2014/main" id="{24AB4C6A-D644-D98F-F830-E8C4EDCE473B}"/>
            </a:ext>
          </a:extLst>
        </xdr:cNvPr>
        <xdr:cNvSpPr txBox="1"/>
      </xdr:nvSpPr>
      <xdr:spPr>
        <a:xfrm>
          <a:off x="2593411" y="7762430"/>
          <a:ext cx="1442103" cy="486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3</xdr:row>
      <xdr:rowOff>25400</xdr:rowOff>
    </xdr:to>
    <xdr:sp macro="" textlink="">
      <xdr:nvSpPr>
        <xdr:cNvPr id="5" name="Rectangle 4">
          <a:extLst>
            <a:ext uri="{FF2B5EF4-FFF2-40B4-BE49-F238E27FC236}">
              <a16:creationId xmlns:a16="http://schemas.microsoft.com/office/drawing/2014/main" id="{B26FAD12-C679-48D1-ACD8-4E2343397C27}"/>
            </a:ext>
          </a:extLst>
        </xdr:cNvPr>
        <xdr:cNvSpPr/>
      </xdr:nvSpPr>
      <xdr:spPr>
        <a:xfrm>
          <a:off x="0" y="0"/>
          <a:ext cx="7315200" cy="577850"/>
        </a:xfrm>
        <a:prstGeom prst="rect">
          <a:avLst/>
        </a:prstGeom>
        <a:solidFill>
          <a:schemeClr val="accent1"/>
        </a:solidFill>
        <a:ln>
          <a:solidFill>
            <a:schemeClr val="accent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0</xdr:colOff>
      <xdr:row>0</xdr:row>
      <xdr:rowOff>0</xdr:rowOff>
    </xdr:from>
    <xdr:to>
      <xdr:col>7</xdr:col>
      <xdr:colOff>77439</xdr:colOff>
      <xdr:row>3</xdr:row>
      <xdr:rowOff>100671</xdr:rowOff>
    </xdr:to>
    <xdr:sp macro="" textlink="">
      <xdr:nvSpPr>
        <xdr:cNvPr id="8" name="TextBox 7">
          <a:extLst>
            <a:ext uri="{FF2B5EF4-FFF2-40B4-BE49-F238E27FC236}">
              <a16:creationId xmlns:a16="http://schemas.microsoft.com/office/drawing/2014/main" id="{822D43E5-A832-4344-970B-DD1566BEA26D}"/>
            </a:ext>
          </a:extLst>
        </xdr:cNvPr>
        <xdr:cNvSpPr txBox="1"/>
      </xdr:nvSpPr>
      <xdr:spPr>
        <a:xfrm>
          <a:off x="0" y="0"/>
          <a:ext cx="4359817" cy="658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solidFill>
                <a:schemeClr val="bg1"/>
              </a:solidFill>
            </a:rPr>
            <a:t>GRUPO BIMBO </a:t>
          </a:r>
        </a:p>
        <a:p>
          <a:pPr algn="l"/>
          <a:r>
            <a:rPr lang="en-AU" sz="1400" i="1">
              <a:solidFill>
                <a:schemeClr val="bg1"/>
              </a:solidFill>
            </a:rPr>
            <a:t>FINANCIAL</a:t>
          </a:r>
          <a:r>
            <a:rPr lang="en-AU" sz="1400" i="1" baseline="0">
              <a:solidFill>
                <a:schemeClr val="bg1"/>
              </a:solidFill>
            </a:rPr>
            <a:t> </a:t>
          </a:r>
          <a:r>
            <a:rPr lang="en-AU" sz="1400" i="1">
              <a:solidFill>
                <a:schemeClr val="bg1"/>
              </a:solidFill>
            </a:rPr>
            <a:t>KPI DASHBOARD</a:t>
          </a:r>
        </a:p>
      </xdr:txBody>
    </xdr:sp>
    <xdr:clientData/>
  </xdr:twoCellAnchor>
  <xdr:twoCellAnchor>
    <xdr:from>
      <xdr:col>0</xdr:col>
      <xdr:colOff>0</xdr:colOff>
      <xdr:row>3</xdr:row>
      <xdr:rowOff>30973</xdr:rowOff>
    </xdr:from>
    <xdr:to>
      <xdr:col>5</xdr:col>
      <xdr:colOff>402683</xdr:colOff>
      <xdr:row>15</xdr:row>
      <xdr:rowOff>131643</xdr:rowOff>
    </xdr:to>
    <xdr:graphicFrame macro="">
      <xdr:nvGraphicFramePr>
        <xdr:cNvPr id="12" name="Chart 11">
          <a:extLst>
            <a:ext uri="{FF2B5EF4-FFF2-40B4-BE49-F238E27FC236}">
              <a16:creationId xmlns:a16="http://schemas.microsoft.com/office/drawing/2014/main" id="{C5342E4D-73BE-4558-9180-3F56ABD68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185855</xdr:colOff>
      <xdr:row>0</xdr:row>
      <xdr:rowOff>69693</xdr:rowOff>
    </xdr:from>
    <xdr:to>
      <xdr:col>9</xdr:col>
      <xdr:colOff>335100</xdr:colOff>
      <xdr:row>2</xdr:row>
      <xdr:rowOff>139389</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DF31E538-93BB-411C-A47B-E4E297F476B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243262" y="69693"/>
              <a:ext cx="2595171" cy="434233"/>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418173</xdr:colOff>
      <xdr:row>3</xdr:row>
      <xdr:rowOff>23232</xdr:rowOff>
    </xdr:from>
    <xdr:to>
      <xdr:col>11</xdr:col>
      <xdr:colOff>595081</xdr:colOff>
      <xdr:row>15</xdr:row>
      <xdr:rowOff>38720</xdr:rowOff>
    </xdr:to>
    <xdr:graphicFrame macro="">
      <xdr:nvGraphicFramePr>
        <xdr:cNvPr id="14" name="Chart 13">
          <a:extLst>
            <a:ext uri="{FF2B5EF4-FFF2-40B4-BE49-F238E27FC236}">
              <a16:creationId xmlns:a16="http://schemas.microsoft.com/office/drawing/2014/main" id="{F358E085-3BD6-459D-9EB5-622DEDBCC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90714</xdr:colOff>
      <xdr:row>19</xdr:row>
      <xdr:rowOff>34890</xdr:rowOff>
    </xdr:from>
    <xdr:to>
      <xdr:col>6</xdr:col>
      <xdr:colOff>24264</xdr:colOff>
      <xdr:row>20</xdr:row>
      <xdr:rowOff>78025</xdr:rowOff>
    </xdr:to>
    <xdr:sp macro="" textlink="">
      <xdr:nvSpPr>
        <xdr:cNvPr id="16" name="TextBox 15">
          <a:extLst>
            <a:ext uri="{FF2B5EF4-FFF2-40B4-BE49-F238E27FC236}">
              <a16:creationId xmlns:a16="http://schemas.microsoft.com/office/drawing/2014/main" id="{F6200769-B9FD-4253-8380-4691FA3A058A}"/>
            </a:ext>
          </a:extLst>
        </xdr:cNvPr>
        <xdr:cNvSpPr txBox="1"/>
      </xdr:nvSpPr>
      <xdr:spPr>
        <a:xfrm>
          <a:off x="2519066" y="3482033"/>
          <a:ext cx="1147725" cy="224563"/>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Aptos Narrow"/>
            </a:rPr>
            <a:t>Revenue</a:t>
          </a:r>
          <a:r>
            <a:rPr lang="en-US" sz="1100" b="1" i="0" u="none" strike="noStrike" baseline="0">
              <a:solidFill>
                <a:srgbClr val="000000"/>
              </a:solidFill>
              <a:latin typeface="Aptos Narrow"/>
            </a:rPr>
            <a:t> Growth</a:t>
          </a:r>
          <a:endParaRPr lang="en-US" sz="1100" b="1" i="0" u="none" strike="noStrike">
            <a:solidFill>
              <a:srgbClr val="000000"/>
            </a:solidFill>
            <a:latin typeface="Aptos Narrow"/>
          </a:endParaRPr>
        </a:p>
      </xdr:txBody>
    </xdr:sp>
    <xdr:clientData/>
  </xdr:twoCellAnchor>
  <xdr:twoCellAnchor>
    <xdr:from>
      <xdr:col>6</xdr:col>
      <xdr:colOff>131647</xdr:colOff>
      <xdr:row>19</xdr:row>
      <xdr:rowOff>7743</xdr:rowOff>
    </xdr:from>
    <xdr:to>
      <xdr:col>7</xdr:col>
      <xdr:colOff>201342</xdr:colOff>
      <xdr:row>20</xdr:row>
      <xdr:rowOff>77439</xdr:rowOff>
    </xdr:to>
    <xdr:sp macro="" textlink="">
      <xdr:nvSpPr>
        <xdr:cNvPr id="17" name="TextBox 16">
          <a:extLst>
            <a:ext uri="{FF2B5EF4-FFF2-40B4-BE49-F238E27FC236}">
              <a16:creationId xmlns:a16="http://schemas.microsoft.com/office/drawing/2014/main" id="{AE0A1BD9-1820-324E-2F8C-B446C06DFDFB}"/>
            </a:ext>
          </a:extLst>
        </xdr:cNvPr>
        <xdr:cNvSpPr txBox="1"/>
      </xdr:nvSpPr>
      <xdr:spPr>
        <a:xfrm>
          <a:off x="3802257" y="3538963"/>
          <a:ext cx="681463" cy="25554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s-MX" sz="1100" b="1"/>
            <a:t>2.11% ↑</a:t>
          </a:r>
        </a:p>
      </xdr:txBody>
    </xdr:sp>
    <xdr:clientData/>
  </xdr:twoCellAnchor>
  <xdr:twoCellAnchor>
    <xdr:from>
      <xdr:col>1</xdr:col>
      <xdr:colOff>0</xdr:colOff>
      <xdr:row>16</xdr:row>
      <xdr:rowOff>54206</xdr:rowOff>
    </xdr:from>
    <xdr:to>
      <xdr:col>4</xdr:col>
      <xdr:colOff>131646</xdr:colOff>
      <xdr:row>17</xdr:row>
      <xdr:rowOff>139390</xdr:rowOff>
    </xdr:to>
    <xdr:sp macro="" textlink="">
      <xdr:nvSpPr>
        <xdr:cNvPr id="18" name="Rectangle 17">
          <a:extLst>
            <a:ext uri="{FF2B5EF4-FFF2-40B4-BE49-F238E27FC236}">
              <a16:creationId xmlns:a16="http://schemas.microsoft.com/office/drawing/2014/main" id="{ADBAA70C-514E-05E4-7F56-C9C4209517ED}"/>
            </a:ext>
          </a:extLst>
        </xdr:cNvPr>
        <xdr:cNvSpPr/>
      </xdr:nvSpPr>
      <xdr:spPr>
        <a:xfrm>
          <a:off x="611768" y="3027865"/>
          <a:ext cx="1966951" cy="2710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t>PROFIABILITY</a:t>
          </a:r>
        </a:p>
      </xdr:txBody>
    </xdr:sp>
    <xdr:clientData/>
  </xdr:twoCellAnchor>
  <xdr:twoCellAnchor>
    <xdr:from>
      <xdr:col>7</xdr:col>
      <xdr:colOff>82705</xdr:colOff>
      <xdr:row>16</xdr:row>
      <xdr:rowOff>43984</xdr:rowOff>
    </xdr:from>
    <xdr:to>
      <xdr:col>10</xdr:col>
      <xdr:colOff>214351</xdr:colOff>
      <xdr:row>17</xdr:row>
      <xdr:rowOff>129168</xdr:rowOff>
    </xdr:to>
    <xdr:sp macro="" textlink="">
      <xdr:nvSpPr>
        <xdr:cNvPr id="19" name="Rectangle 18">
          <a:extLst>
            <a:ext uri="{FF2B5EF4-FFF2-40B4-BE49-F238E27FC236}">
              <a16:creationId xmlns:a16="http://schemas.microsoft.com/office/drawing/2014/main" id="{70F7F55D-BE41-431F-AFF1-93C6549AF807}"/>
            </a:ext>
          </a:extLst>
        </xdr:cNvPr>
        <xdr:cNvSpPr/>
      </xdr:nvSpPr>
      <xdr:spPr>
        <a:xfrm>
          <a:off x="4365083" y="3017643"/>
          <a:ext cx="1966951" cy="2710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t>FINANCIAL</a:t>
          </a:r>
          <a:r>
            <a:rPr lang="es-MX" sz="1100" b="1" baseline="0"/>
            <a:t> HEALTH</a:t>
          </a:r>
          <a:endParaRPr lang="es-MX" sz="1100" b="1"/>
        </a:p>
      </xdr:txBody>
    </xdr:sp>
    <xdr:clientData/>
  </xdr:twoCellAnchor>
  <xdr:twoCellAnchor>
    <xdr:from>
      <xdr:col>4</xdr:col>
      <xdr:colOff>18275</xdr:colOff>
      <xdr:row>21</xdr:row>
      <xdr:rowOff>64739</xdr:rowOff>
    </xdr:from>
    <xdr:to>
      <xdr:col>7</xdr:col>
      <xdr:colOff>149921</xdr:colOff>
      <xdr:row>22</xdr:row>
      <xdr:rowOff>149923</xdr:rowOff>
    </xdr:to>
    <xdr:sp macro="" textlink="">
      <xdr:nvSpPr>
        <xdr:cNvPr id="20" name="Rectangle 19">
          <a:extLst>
            <a:ext uri="{FF2B5EF4-FFF2-40B4-BE49-F238E27FC236}">
              <a16:creationId xmlns:a16="http://schemas.microsoft.com/office/drawing/2014/main" id="{E04D7819-EC90-439D-981D-C1D8B38CD980}"/>
            </a:ext>
          </a:extLst>
        </xdr:cNvPr>
        <xdr:cNvSpPr/>
      </xdr:nvSpPr>
      <xdr:spPr>
        <a:xfrm>
          <a:off x="2465348" y="3967666"/>
          <a:ext cx="1966951" cy="2710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t>GROWTH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n Villanueva" refreshedDate="46100.625289814816" createdVersion="8" refreshedVersion="8" minRefreshableVersion="3" recordCount="20" xr:uid="{5DBBF2A3-4FF0-4AA7-8C9F-99913158D78D}">
  <cacheSource type="worksheet">
    <worksheetSource name="Table2"/>
  </cacheSource>
  <cacheFields count="3">
    <cacheField name="Year" numFmtId="0">
      <sharedItems containsSemiMixedTypes="0" containsString="0" containsNumber="1" containsInteger="1" minValue="2022" maxValue="2024" count="3">
        <n v="2022"/>
        <n v="2023"/>
        <n v="2024"/>
      </sharedItems>
    </cacheField>
    <cacheField name="Ratio" numFmtId="0">
      <sharedItems count="7">
        <s v="Gross margin "/>
        <s v="Operating Margin"/>
        <s v="Net Margin "/>
        <s v="Current Ratio"/>
        <s v="Debt to equity"/>
        <s v="ROA"/>
        <s v="Growth"/>
      </sharedItems>
    </cacheField>
    <cacheField name="Value" numFmtId="0">
      <sharedItems containsSemiMixedTypes="0" containsString="0" containsNumber="1" minValue="2.9420174263743207E-3" maxValue="2.263982208022052"/>
    </cacheField>
  </cacheFields>
  <extLst>
    <ext xmlns:x14="http://schemas.microsoft.com/office/spreadsheetml/2009/9/main" uri="{725AE2AE-9491-48be-B2B4-4EB974FC3084}">
      <x14:pivotCacheDefinition pivotCacheId="1422364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0.5151189096727915"/>
  </r>
  <r>
    <x v="1"/>
    <x v="0"/>
    <n v="0.51393046396534947"/>
  </r>
  <r>
    <x v="2"/>
    <x v="0"/>
    <n v="0.52635213733821495"/>
  </r>
  <r>
    <x v="0"/>
    <x v="1"/>
    <n v="0.1346756758112494"/>
  </r>
  <r>
    <x v="1"/>
    <x v="1"/>
    <n v="8.8664320957089524E-2"/>
  </r>
  <r>
    <x v="2"/>
    <x v="1"/>
    <n v="8.1180893139211674E-2"/>
  </r>
  <r>
    <x v="0"/>
    <x v="2"/>
    <n v="0.12160589507055324"/>
  </r>
  <r>
    <x v="1"/>
    <x v="2"/>
    <n v="4.2317801134843291E-2"/>
  </r>
  <r>
    <x v="2"/>
    <x v="2"/>
    <n v="3.439088003722434E-2"/>
  </r>
  <r>
    <x v="0"/>
    <x v="3"/>
    <n v="0.7073127242739653"/>
  </r>
  <r>
    <x v="0"/>
    <x v="4"/>
    <n v="1.7253804799297816"/>
  </r>
  <r>
    <x v="0"/>
    <x v="5"/>
    <n v="0.13941926133814886"/>
  </r>
  <r>
    <x v="1"/>
    <x v="3"/>
    <n v="0.67568125516102395"/>
  </r>
  <r>
    <x v="1"/>
    <x v="4"/>
    <n v="2.1184111513240405"/>
  </r>
  <r>
    <x v="1"/>
    <x v="5"/>
    <n v="4.8612188381566321E-2"/>
  </r>
  <r>
    <x v="2"/>
    <x v="3"/>
    <n v="0.78891433268745226"/>
  </r>
  <r>
    <x v="2"/>
    <x v="4"/>
    <n v="2.263982208022052"/>
  </r>
  <r>
    <x v="2"/>
    <x v="5"/>
    <n v="3.3692095085459832E-2"/>
  </r>
  <r>
    <x v="1"/>
    <x v="6"/>
    <n v="2.9420174263743207E-3"/>
  </r>
  <r>
    <x v="2"/>
    <x v="6"/>
    <n v="2.114639678502747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32841-60AB-4AE0-9098-2B131657DFC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colHeaderCaption="">
  <location ref="E27:H29" firstHeaderRow="1" firstDataRow="2" firstDataCol="1"/>
  <pivotFields count="3">
    <pivotField axis="axisRow" showAll="0" defaultSubtotal="0">
      <items count="3">
        <item x="0"/>
        <item h="1" x="1"/>
        <item h="1" x="2"/>
      </items>
    </pivotField>
    <pivotField axis="axisCol" showAll="0" defaultSubtotal="0">
      <items count="7">
        <item x="3"/>
        <item x="4"/>
        <item h="1" x="0"/>
        <item h="1" x="2"/>
        <item h="1" x="1"/>
        <item x="5"/>
        <item h="1" x="6"/>
      </items>
    </pivotField>
    <pivotField dataField="1" showAll="0" defaultSubtotal="0"/>
  </pivotFields>
  <rowFields count="1">
    <field x="0"/>
  </rowFields>
  <rowItems count="1">
    <i>
      <x/>
    </i>
  </rowItems>
  <colFields count="1">
    <field x="1"/>
  </colFields>
  <colItems count="3">
    <i>
      <x/>
    </i>
    <i>
      <x v="1"/>
    </i>
    <i>
      <x v="5"/>
    </i>
  </colItems>
  <dataFields count="1">
    <dataField name="Sum of Value" fld="2" baseField="0" baseItem="0"/>
  </dataFields>
  <chartFormats count="3">
    <chartFormat chart="8" format="9" series="1">
      <pivotArea type="data" outline="0" fieldPosition="0">
        <references count="2">
          <reference field="4294967294" count="1" selected="0">
            <x v="0"/>
          </reference>
          <reference field="1" count="1" selected="0">
            <x v="0"/>
          </reference>
        </references>
      </pivotArea>
    </chartFormat>
    <chartFormat chart="8" format="10" series="1">
      <pivotArea type="data" outline="0" fieldPosition="0">
        <references count="2">
          <reference field="4294967294" count="1" selected="0">
            <x v="0"/>
          </reference>
          <reference field="1" count="1" selected="0">
            <x v="1"/>
          </reference>
        </references>
      </pivotArea>
    </chartFormat>
    <chartFormat chart="8" format="11"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F5282-050B-4C73-81B2-5E218AEBF31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colHeaderCaption="">
  <location ref="E20:H22" firstHeaderRow="1" firstDataRow="2" firstDataCol="1"/>
  <pivotFields count="3">
    <pivotField showAll="0" defaultSubtotal="0">
      <items count="3">
        <item x="0"/>
        <item h="1" x="1"/>
        <item h="1" x="2"/>
      </items>
    </pivotField>
    <pivotField axis="axisCol" showAll="0" defaultSubtotal="0">
      <items count="7">
        <item h="1" x="3"/>
        <item h="1" x="4"/>
        <item x="0"/>
        <item x="2"/>
        <item x="1"/>
        <item h="1" x="5"/>
        <item h="1" x="6"/>
      </items>
    </pivotField>
    <pivotField dataField="1" showAll="0" defaultSubtotal="0"/>
  </pivotFields>
  <rowItems count="1">
    <i/>
  </rowItems>
  <colFields count="1">
    <field x="1"/>
  </colFields>
  <colItems count="3">
    <i>
      <x v="2"/>
    </i>
    <i>
      <x v="3"/>
    </i>
    <i>
      <x v="4"/>
    </i>
  </colItems>
  <dataFields count="1">
    <dataField name="Sum of Value" fld="2" baseField="0" baseItem="0"/>
  </dataFields>
  <chartFormats count="3">
    <chartFormat chart="13" format="6" series="1">
      <pivotArea type="data" outline="0" fieldPosition="0">
        <references count="2">
          <reference field="4294967294" count="1" selected="0">
            <x v="0"/>
          </reference>
          <reference field="1" count="1" selected="0">
            <x v="2"/>
          </reference>
        </references>
      </pivotArea>
    </chartFormat>
    <chartFormat chart="13" format="7" series="1">
      <pivotArea type="data" outline="0" fieldPosition="0">
        <references count="2">
          <reference field="4294967294" count="1" selected="0">
            <x v="0"/>
          </reference>
          <reference field="1" count="1" selected="0">
            <x v="3"/>
          </reference>
        </references>
      </pivotArea>
    </chartFormat>
    <chartFormat chart="13" format="8"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1635D6C-26AB-4FD5-8F54-AF399C5371F5}" sourceName="Year">
  <pivotTables>
    <pivotTable tabId="3" name="PivotTable6"/>
    <pivotTable tabId="3" name="PivotTable7"/>
  </pivotTables>
  <data>
    <tabular pivotCacheId="1422364787">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CB5F029-BA48-41DB-9F9E-B12BD0E8D0AE}" cache="Slicer_Year" caption="Year" columnCount="3"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99C5D7-5548-45A4-BFDB-6361A86536C9}" name="Table2" displayName="Table2" ref="A12:C32" totalsRowShown="0" headerRowDxfId="15" headerRowBorderDxfId="14" tableBorderDxfId="13" totalsRowBorderDxfId="12">
  <autoFilter ref="A12:C32" xr:uid="{4D99C5D7-5548-45A4-BFDB-6361A86536C9}"/>
  <tableColumns count="3">
    <tableColumn id="1" xr3:uid="{E53B37F7-054E-4E8B-A50C-C55A01B10059}" name="Year" dataDxfId="11"/>
    <tableColumn id="2" xr3:uid="{53C64F6E-E94A-40D0-9A57-B07453568712}" name="Ratio" dataDxfId="10"/>
    <tableColumn id="3" xr3:uid="{E10E1178-F174-4CCC-8824-C6F741800505}" name="Value"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F69A1D-8839-4F5A-8F35-77DAF1B30DFC}" name="Table6" displayName="Table6" ref="A2:E9" totalsRowShown="0" headerRowDxfId="8" headerRowBorderDxfId="7" tableBorderDxfId="6" totalsRowBorderDxfId="5">
  <autoFilter ref="A2:E9" xr:uid="{4FF69A1D-8839-4F5A-8F35-77DAF1B30DFC}"/>
  <tableColumns count="5">
    <tableColumn id="1" xr3:uid="{86FF2F3E-4F37-4CED-B59D-FA20F69C3890}" name="Category" dataDxfId="4"/>
    <tableColumn id="2" xr3:uid="{AEE1077D-AFD8-4BCA-9566-30164B76F515}" name="Ratio" dataDxfId="3"/>
    <tableColumn id="3" xr3:uid="{780F782E-2346-48DD-A23A-F1894C55BB58}" name="2022" dataDxfId="2" dataCellStyle="Percent"/>
    <tableColumn id="4" xr3:uid="{4D02FE8F-4052-4C32-982E-FC0310DFAFEF}" name="2023" dataDxfId="1" dataCellStyle="Percent"/>
    <tableColumn id="5" xr3:uid="{8D595F76-07E3-4368-9F21-B59F2073E8AA}" name="2024"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C539F-B62D-46B2-9B3B-B8082556252E}">
  <dimension ref="A1:E34"/>
  <sheetViews>
    <sheetView topLeftCell="A2" zoomScale="83" workbookViewId="0">
      <selection activeCell="F8" sqref="F8"/>
    </sheetView>
  </sheetViews>
  <sheetFormatPr defaultRowHeight="14.5" x14ac:dyDescent="0.35"/>
  <cols>
    <col min="1" max="1" width="28.7265625" bestFit="1" customWidth="1"/>
    <col min="2" max="4" width="11.1796875" bestFit="1" customWidth="1"/>
  </cols>
  <sheetData>
    <row r="1" spans="1:5" x14ac:dyDescent="0.35">
      <c r="A1" s="54" t="s">
        <v>26</v>
      </c>
      <c r="B1" s="55"/>
      <c r="C1" s="55"/>
      <c r="D1" s="56"/>
    </row>
    <row r="2" spans="1:5" x14ac:dyDescent="0.35">
      <c r="A2" s="57"/>
      <c r="B2" s="58"/>
      <c r="C2" s="58"/>
      <c r="D2" s="59"/>
    </row>
    <row r="3" spans="1:5" x14ac:dyDescent="0.35">
      <c r="A3" s="4"/>
      <c r="B3" s="13">
        <v>2022</v>
      </c>
      <c r="C3" s="13">
        <v>2023</v>
      </c>
      <c r="D3" s="13">
        <v>2024</v>
      </c>
    </row>
    <row r="4" spans="1:5" x14ac:dyDescent="0.35">
      <c r="A4" s="5" t="s">
        <v>0</v>
      </c>
      <c r="B4" s="48"/>
      <c r="C4" s="49"/>
      <c r="D4" s="50"/>
    </row>
    <row r="5" spans="1:5" x14ac:dyDescent="0.35">
      <c r="A5" s="1" t="s">
        <v>7</v>
      </c>
      <c r="B5" s="6">
        <v>398706</v>
      </c>
      <c r="C5" s="6">
        <v>399879</v>
      </c>
      <c r="D5" s="6">
        <v>408335</v>
      </c>
    </row>
    <row r="6" spans="1:5" x14ac:dyDescent="0.35">
      <c r="A6" s="1" t="s">
        <v>1</v>
      </c>
      <c r="B6" s="7">
        <v>193325</v>
      </c>
      <c r="C6" s="7">
        <v>194369</v>
      </c>
      <c r="D6" s="7">
        <v>193407</v>
      </c>
    </row>
    <row r="7" spans="1:5" x14ac:dyDescent="0.35">
      <c r="A7" s="11" t="s">
        <v>2</v>
      </c>
      <c r="B7" s="12">
        <f>B5-B6</f>
        <v>205381</v>
      </c>
      <c r="C7" s="12">
        <f t="shared" ref="C7:D7" si="0">C5-C6</f>
        <v>205510</v>
      </c>
      <c r="D7" s="12">
        <f t="shared" si="0"/>
        <v>214928</v>
      </c>
      <c r="E7" s="8"/>
    </row>
    <row r="8" spans="1:5" x14ac:dyDescent="0.35">
      <c r="A8" s="48"/>
      <c r="B8" s="49"/>
      <c r="C8" s="49"/>
      <c r="D8" s="50"/>
    </row>
    <row r="9" spans="1:5" x14ac:dyDescent="0.35">
      <c r="A9" s="3" t="s">
        <v>8</v>
      </c>
      <c r="B9" s="48"/>
      <c r="C9" s="49"/>
      <c r="D9" s="50"/>
    </row>
    <row r="10" spans="1:5" x14ac:dyDescent="0.35">
      <c r="A10" s="1" t="s">
        <v>3</v>
      </c>
      <c r="B10" s="7">
        <v>140455</v>
      </c>
      <c r="C10" s="7">
        <v>139477</v>
      </c>
      <c r="D10" s="7">
        <v>147628</v>
      </c>
    </row>
    <row r="11" spans="1:5" x14ac:dyDescent="0.35">
      <c r="A11" s="1" t="s">
        <v>4</v>
      </c>
      <c r="B11" s="7">
        <v>26172</v>
      </c>
      <c r="C11" s="7">
        <v>25860</v>
      </c>
      <c r="D11" s="7">
        <v>27536</v>
      </c>
    </row>
    <row r="12" spans="1:5" x14ac:dyDescent="0.35">
      <c r="A12" s="1" t="s">
        <v>5</v>
      </c>
      <c r="B12" s="7">
        <v>367</v>
      </c>
      <c r="C12" s="7">
        <v>288</v>
      </c>
      <c r="D12" s="7">
        <v>317</v>
      </c>
    </row>
    <row r="13" spans="1:5" x14ac:dyDescent="0.35">
      <c r="A13" s="1" t="s">
        <v>6</v>
      </c>
      <c r="B13" s="7">
        <v>-15309</v>
      </c>
      <c r="C13" s="7">
        <v>4430</v>
      </c>
      <c r="D13" s="7">
        <v>6298</v>
      </c>
    </row>
    <row r="14" spans="1:5" x14ac:dyDescent="0.35">
      <c r="A14" s="11" t="s">
        <v>15</v>
      </c>
      <c r="B14" s="12">
        <f>B7-(SUM(B10:B13))</f>
        <v>53696</v>
      </c>
      <c r="C14" s="12">
        <f t="shared" ref="C14:D14" si="1">C7-(SUM(C10:C13))</f>
        <v>35455</v>
      </c>
      <c r="D14" s="12">
        <f t="shared" si="1"/>
        <v>33149</v>
      </c>
    </row>
    <row r="15" spans="1:5" x14ac:dyDescent="0.35">
      <c r="A15" s="48"/>
      <c r="B15" s="49"/>
      <c r="C15" s="49"/>
      <c r="D15" s="50"/>
    </row>
    <row r="16" spans="1:5" x14ac:dyDescent="0.35">
      <c r="A16" s="1" t="s">
        <v>9</v>
      </c>
      <c r="B16" s="7">
        <v>8049</v>
      </c>
      <c r="C16" s="7">
        <v>10006</v>
      </c>
      <c r="D16" s="7">
        <v>13100</v>
      </c>
    </row>
    <row r="17" spans="1:4" x14ac:dyDescent="0.35">
      <c r="A17" s="1" t="s">
        <v>10</v>
      </c>
      <c r="B17" s="7">
        <v>-740</v>
      </c>
      <c r="C17" s="7">
        <v>-809</v>
      </c>
      <c r="D17" s="7">
        <v>-924</v>
      </c>
    </row>
    <row r="18" spans="1:4" x14ac:dyDescent="0.35">
      <c r="A18" s="1" t="s">
        <v>11</v>
      </c>
      <c r="B18" s="7">
        <v>995</v>
      </c>
      <c r="C18" s="7">
        <v>1323</v>
      </c>
      <c r="D18" s="7">
        <v>506</v>
      </c>
    </row>
    <row r="19" spans="1:4" x14ac:dyDescent="0.35">
      <c r="A19" s="1" t="s">
        <v>12</v>
      </c>
      <c r="B19" s="7">
        <v>-34</v>
      </c>
      <c r="C19" s="7">
        <v>-73</v>
      </c>
      <c r="D19" s="7">
        <v>-103</v>
      </c>
    </row>
    <row r="20" spans="1:4" x14ac:dyDescent="0.35">
      <c r="A20" s="11" t="s">
        <v>13</v>
      </c>
      <c r="B20" s="12">
        <f>SUM(B16:B19)</f>
        <v>8270</v>
      </c>
      <c r="C20" s="12">
        <f t="shared" ref="C20:D20" si="2">SUM(C16:C19)</f>
        <v>10447</v>
      </c>
      <c r="D20" s="12">
        <f t="shared" si="2"/>
        <v>12579</v>
      </c>
    </row>
    <row r="21" spans="1:4" x14ac:dyDescent="0.35">
      <c r="A21" s="1" t="s">
        <v>14</v>
      </c>
      <c r="B21" s="7">
        <v>452</v>
      </c>
      <c r="C21" s="7">
        <v>316</v>
      </c>
      <c r="D21" s="7">
        <v>464</v>
      </c>
    </row>
    <row r="22" spans="1:4" x14ac:dyDescent="0.35">
      <c r="A22" s="11" t="s">
        <v>25</v>
      </c>
      <c r="B22" s="12">
        <f>B14-B20+B21</f>
        <v>45878</v>
      </c>
      <c r="C22" s="12">
        <f t="shared" ref="C22:D22" si="3">C14-C20+C21</f>
        <v>25324</v>
      </c>
      <c r="D22" s="12">
        <f t="shared" si="3"/>
        <v>21034</v>
      </c>
    </row>
    <row r="23" spans="1:4" x14ac:dyDescent="0.35">
      <c r="A23" s="48"/>
      <c r="B23" s="49"/>
      <c r="C23" s="49"/>
      <c r="D23" s="50"/>
    </row>
    <row r="24" spans="1:4" x14ac:dyDescent="0.35">
      <c r="A24" s="1" t="s">
        <v>16</v>
      </c>
      <c r="B24" s="7">
        <v>9938</v>
      </c>
      <c r="C24" s="7">
        <v>9462</v>
      </c>
      <c r="D24" s="7">
        <v>7825</v>
      </c>
    </row>
    <row r="25" spans="1:4" x14ac:dyDescent="0.35">
      <c r="A25" s="1" t="s">
        <v>17</v>
      </c>
      <c r="B25" s="7">
        <v>4443</v>
      </c>
      <c r="C25" s="7">
        <v>-1076</v>
      </c>
      <c r="D25" s="7">
        <v>-1028</v>
      </c>
    </row>
    <row r="26" spans="1:4" x14ac:dyDescent="0.35">
      <c r="A26" s="11" t="s">
        <v>18</v>
      </c>
      <c r="B26" s="12">
        <f>SUM(B24:B25)</f>
        <v>14381</v>
      </c>
      <c r="C26" s="12">
        <f t="shared" ref="C26:D26" si="4">SUM(C24:C25)</f>
        <v>8386</v>
      </c>
      <c r="D26" s="12">
        <f t="shared" si="4"/>
        <v>6797</v>
      </c>
    </row>
    <row r="27" spans="1:4" ht="29" x14ac:dyDescent="0.35">
      <c r="A27" s="9" t="s">
        <v>27</v>
      </c>
      <c r="B27" s="7">
        <v>16988</v>
      </c>
      <c r="C27" s="7">
        <v>-16</v>
      </c>
      <c r="D27" s="7">
        <v>-194</v>
      </c>
    </row>
    <row r="28" spans="1:4" x14ac:dyDescent="0.35">
      <c r="A28" s="11" t="s">
        <v>19</v>
      </c>
      <c r="B28" s="12">
        <f>B22-B26+B27</f>
        <v>48485</v>
      </c>
      <c r="C28" s="12">
        <f>C22-C26+C27</f>
        <v>16922</v>
      </c>
      <c r="D28" s="12">
        <f>D22-D26+D27</f>
        <v>14043</v>
      </c>
    </row>
    <row r="29" spans="1:4" x14ac:dyDescent="0.35">
      <c r="A29" s="51"/>
      <c r="B29" s="52"/>
      <c r="C29" s="52"/>
      <c r="D29" s="53"/>
    </row>
    <row r="30" spans="1:4" x14ac:dyDescent="0.35">
      <c r="A30" s="1" t="s">
        <v>20</v>
      </c>
      <c r="B30" s="7">
        <v>46910</v>
      </c>
      <c r="C30" s="7">
        <v>15477</v>
      </c>
      <c r="D30" s="7">
        <v>12544</v>
      </c>
    </row>
    <row r="31" spans="1:4" x14ac:dyDescent="0.35">
      <c r="A31" s="1" t="s">
        <v>21</v>
      </c>
      <c r="B31" s="7">
        <v>1575</v>
      </c>
      <c r="C31" s="7">
        <v>1445</v>
      </c>
      <c r="D31" s="7">
        <v>1499</v>
      </c>
    </row>
    <row r="32" spans="1:4" x14ac:dyDescent="0.35">
      <c r="A32" s="1" t="s">
        <v>22</v>
      </c>
      <c r="B32" s="10">
        <v>10.54</v>
      </c>
      <c r="C32" s="10">
        <v>3.5</v>
      </c>
      <c r="D32" s="10">
        <v>2.92</v>
      </c>
    </row>
    <row r="33" spans="1:4" x14ac:dyDescent="0.35">
      <c r="A33" s="1" t="s">
        <v>23</v>
      </c>
      <c r="B33" s="10">
        <v>0.65</v>
      </c>
      <c r="C33" s="10">
        <v>0.78</v>
      </c>
      <c r="D33" s="10">
        <v>0.94</v>
      </c>
    </row>
    <row r="34" spans="1:4" x14ac:dyDescent="0.35">
      <c r="A34" s="11" t="s">
        <v>24</v>
      </c>
      <c r="B34" s="12">
        <v>53446</v>
      </c>
      <c r="C34" s="12">
        <v>54942</v>
      </c>
      <c r="D34" s="12">
        <v>55473</v>
      </c>
    </row>
  </sheetData>
  <mergeCells count="7">
    <mergeCell ref="A8:D8"/>
    <mergeCell ref="A23:D23"/>
    <mergeCell ref="A15:D15"/>
    <mergeCell ref="A29:D29"/>
    <mergeCell ref="A1:D2"/>
    <mergeCell ref="B4:D4"/>
    <mergeCell ref="B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379C-4677-4557-8671-C3A41BD7A606}">
  <dimension ref="A1:D47"/>
  <sheetViews>
    <sheetView topLeftCell="A12" zoomScale="75" workbookViewId="0">
      <selection activeCell="F8" sqref="F8"/>
    </sheetView>
  </sheetViews>
  <sheetFormatPr defaultRowHeight="14.5" x14ac:dyDescent="0.35"/>
  <cols>
    <col min="1" max="1" width="40.54296875" bestFit="1" customWidth="1"/>
  </cols>
  <sheetData>
    <row r="1" spans="1:4" ht="20" customHeight="1" x14ac:dyDescent="0.35">
      <c r="A1" s="60" t="s">
        <v>28</v>
      </c>
      <c r="B1" s="60"/>
      <c r="C1" s="60"/>
      <c r="D1" s="60"/>
    </row>
    <row r="2" spans="1:4" ht="20" customHeight="1" x14ac:dyDescent="0.35">
      <c r="A2" s="2"/>
      <c r="B2" s="2">
        <v>2022</v>
      </c>
      <c r="C2" s="2">
        <v>2023</v>
      </c>
      <c r="D2" s="2">
        <v>2024</v>
      </c>
    </row>
    <row r="3" spans="1:4" x14ac:dyDescent="0.35">
      <c r="A3" s="3" t="s">
        <v>29</v>
      </c>
      <c r="B3" s="48"/>
      <c r="C3" s="49"/>
      <c r="D3" s="50"/>
    </row>
    <row r="4" spans="1:4" x14ac:dyDescent="0.35">
      <c r="A4" s="1" t="s">
        <v>30</v>
      </c>
      <c r="B4" s="6">
        <v>12313</v>
      </c>
      <c r="C4" s="6">
        <v>6353</v>
      </c>
      <c r="D4" s="6">
        <v>8057</v>
      </c>
    </row>
    <row r="5" spans="1:4" x14ac:dyDescent="0.35">
      <c r="A5" s="1" t="s">
        <v>31</v>
      </c>
      <c r="B5" s="6">
        <v>32185</v>
      </c>
      <c r="C5" s="6">
        <v>33269</v>
      </c>
      <c r="D5" s="6">
        <v>36659</v>
      </c>
    </row>
    <row r="6" spans="1:4" x14ac:dyDescent="0.35">
      <c r="A6" s="1" t="s">
        <v>32</v>
      </c>
      <c r="B6" s="6">
        <v>16989</v>
      </c>
      <c r="C6" s="6">
        <v>16120</v>
      </c>
      <c r="D6" s="6">
        <v>18832</v>
      </c>
    </row>
    <row r="7" spans="1:4" x14ac:dyDescent="0.35">
      <c r="A7" s="1" t="s">
        <v>33</v>
      </c>
      <c r="B7" s="6">
        <v>928</v>
      </c>
      <c r="C7" s="6">
        <v>1378</v>
      </c>
      <c r="D7" s="6">
        <v>1371</v>
      </c>
    </row>
    <row r="8" spans="1:4" x14ac:dyDescent="0.35">
      <c r="A8" s="1" t="s">
        <v>34</v>
      </c>
      <c r="B8" s="6">
        <v>38</v>
      </c>
      <c r="C8" s="6">
        <v>119</v>
      </c>
      <c r="D8" s="6">
        <v>1417</v>
      </c>
    </row>
    <row r="9" spans="1:4" x14ac:dyDescent="0.35">
      <c r="A9" s="1" t="s">
        <v>35</v>
      </c>
      <c r="B9" s="6">
        <v>879</v>
      </c>
      <c r="C9" s="6">
        <v>1519</v>
      </c>
      <c r="D9" s="6">
        <v>577</v>
      </c>
    </row>
    <row r="10" spans="1:4" x14ac:dyDescent="0.35">
      <c r="A10" s="1" t="s">
        <v>36</v>
      </c>
      <c r="B10" s="6">
        <v>138</v>
      </c>
      <c r="C10" s="6">
        <v>156</v>
      </c>
      <c r="D10" s="6">
        <v>267</v>
      </c>
    </row>
    <row r="11" spans="1:4" x14ac:dyDescent="0.35">
      <c r="A11" s="15" t="s">
        <v>37</v>
      </c>
      <c r="B11" s="16">
        <f>SUM(B4:B10)</f>
        <v>63470</v>
      </c>
      <c r="C11" s="16">
        <f t="shared" ref="C11:D11" si="0">SUM(C4:C10)</f>
        <v>58914</v>
      </c>
      <c r="D11" s="16">
        <f t="shared" si="0"/>
        <v>67180</v>
      </c>
    </row>
    <row r="12" spans="1:4" x14ac:dyDescent="0.35">
      <c r="A12" s="61"/>
      <c r="B12" s="61"/>
      <c r="C12" s="61"/>
      <c r="D12" s="61"/>
    </row>
    <row r="13" spans="1:4" x14ac:dyDescent="0.35">
      <c r="A13" s="3" t="s">
        <v>63</v>
      </c>
      <c r="B13" s="48"/>
      <c r="C13" s="49"/>
      <c r="D13" s="50"/>
    </row>
    <row r="14" spans="1:4" x14ac:dyDescent="0.35">
      <c r="A14" s="1" t="s">
        <v>62</v>
      </c>
      <c r="B14" s="6">
        <v>113505</v>
      </c>
      <c r="C14" s="6">
        <v>129156</v>
      </c>
      <c r="D14" s="6">
        <v>155376</v>
      </c>
    </row>
    <row r="15" spans="1:4" x14ac:dyDescent="0.35">
      <c r="A15" s="1" t="s">
        <v>38</v>
      </c>
      <c r="B15" s="6">
        <v>28477</v>
      </c>
      <c r="C15" s="6">
        <v>25848</v>
      </c>
      <c r="D15" s="6">
        <v>34220</v>
      </c>
    </row>
    <row r="16" spans="1:4" x14ac:dyDescent="0.35">
      <c r="A16" s="1" t="s">
        <v>39</v>
      </c>
      <c r="B16" s="6">
        <v>4398</v>
      </c>
      <c r="C16" s="6">
        <v>5031</v>
      </c>
      <c r="D16" s="6">
        <v>7531</v>
      </c>
    </row>
    <row r="17" spans="1:4" x14ac:dyDescent="0.35">
      <c r="A17" s="1" t="s">
        <v>34</v>
      </c>
      <c r="B17" s="6">
        <v>2005</v>
      </c>
      <c r="C17" s="6">
        <v>468</v>
      </c>
      <c r="D17" s="6">
        <v>784</v>
      </c>
    </row>
    <row r="18" spans="1:4" x14ac:dyDescent="0.35">
      <c r="A18" s="1" t="s">
        <v>40</v>
      </c>
      <c r="B18" s="6">
        <v>3962</v>
      </c>
      <c r="C18" s="6">
        <v>7313</v>
      </c>
      <c r="D18" s="6">
        <v>6884</v>
      </c>
    </row>
    <row r="19" spans="1:4" x14ac:dyDescent="0.35">
      <c r="A19" s="1" t="s">
        <v>41</v>
      </c>
      <c r="B19" s="6">
        <v>59062</v>
      </c>
      <c r="C19" s="6">
        <v>55101</v>
      </c>
      <c r="D19" s="6">
        <v>65808</v>
      </c>
    </row>
    <row r="20" spans="1:4" x14ac:dyDescent="0.35">
      <c r="A20" s="1" t="s">
        <v>42</v>
      </c>
      <c r="B20" s="6">
        <v>68085</v>
      </c>
      <c r="C20" s="6">
        <v>62000</v>
      </c>
      <c r="D20" s="6">
        <v>75100</v>
      </c>
    </row>
    <row r="21" spans="1:4" x14ac:dyDescent="0.35">
      <c r="A21" s="1" t="s">
        <v>43</v>
      </c>
      <c r="B21" s="6">
        <v>4800</v>
      </c>
      <c r="C21" s="6">
        <v>4271</v>
      </c>
      <c r="D21" s="6">
        <v>3921</v>
      </c>
    </row>
    <row r="22" spans="1:4" x14ac:dyDescent="0.35">
      <c r="A22" s="15" t="s">
        <v>44</v>
      </c>
      <c r="B22" s="16">
        <f>SUM(B14:B21)+B11</f>
        <v>347764</v>
      </c>
      <c r="C22" s="16">
        <f t="shared" ref="C22:D22" si="1">SUM(C14:C21)+C11</f>
        <v>348102</v>
      </c>
      <c r="D22" s="16">
        <f t="shared" si="1"/>
        <v>416804</v>
      </c>
    </row>
    <row r="23" spans="1:4" x14ac:dyDescent="0.35">
      <c r="A23" s="61"/>
      <c r="B23" s="61"/>
      <c r="C23" s="61"/>
      <c r="D23" s="61"/>
    </row>
    <row r="24" spans="1:4" x14ac:dyDescent="0.35">
      <c r="A24" s="14" t="s">
        <v>64</v>
      </c>
      <c r="B24" s="48"/>
      <c r="C24" s="49"/>
      <c r="D24" s="50"/>
    </row>
    <row r="25" spans="1:4" x14ac:dyDescent="0.35">
      <c r="A25" s="1" t="s">
        <v>45</v>
      </c>
      <c r="B25" s="6">
        <v>6435</v>
      </c>
      <c r="C25" s="6">
        <v>12932</v>
      </c>
      <c r="D25" s="6">
        <v>4862</v>
      </c>
    </row>
    <row r="26" spans="1:4" x14ac:dyDescent="0.35">
      <c r="A26" s="1" t="s">
        <v>46</v>
      </c>
      <c r="B26" s="6">
        <v>44058</v>
      </c>
      <c r="C26" s="6">
        <v>40409</v>
      </c>
      <c r="D26" s="6">
        <v>40815</v>
      </c>
    </row>
    <row r="27" spans="1:4" x14ac:dyDescent="0.35">
      <c r="A27" s="1" t="s">
        <v>47</v>
      </c>
      <c r="B27" s="6">
        <v>24198</v>
      </c>
      <c r="C27" s="6">
        <v>22072</v>
      </c>
      <c r="D27" s="6">
        <v>27280</v>
      </c>
    </row>
    <row r="28" spans="1:4" x14ac:dyDescent="0.35">
      <c r="A28" s="1" t="s">
        <v>48</v>
      </c>
      <c r="B28" s="6">
        <v>5930</v>
      </c>
      <c r="C28" s="6">
        <v>5751</v>
      </c>
      <c r="D28" s="6">
        <v>7140</v>
      </c>
    </row>
    <row r="29" spans="1:4" x14ac:dyDescent="0.35">
      <c r="A29" s="1" t="s">
        <v>49</v>
      </c>
      <c r="B29" s="6">
        <v>1240</v>
      </c>
      <c r="C29" s="6">
        <v>1412</v>
      </c>
      <c r="D29" s="6">
        <v>1260</v>
      </c>
    </row>
    <row r="30" spans="1:4" x14ac:dyDescent="0.35">
      <c r="A30" s="1" t="s">
        <v>66</v>
      </c>
      <c r="B30" s="6">
        <v>4604</v>
      </c>
      <c r="C30" s="6">
        <v>665</v>
      </c>
      <c r="D30" s="6">
        <v>1535</v>
      </c>
    </row>
    <row r="31" spans="1:4" x14ac:dyDescent="0.35">
      <c r="A31" s="1" t="s">
        <v>67</v>
      </c>
      <c r="B31" s="6">
        <v>1811</v>
      </c>
      <c r="C31" s="6">
        <v>1787</v>
      </c>
      <c r="D31" s="6">
        <v>1752</v>
      </c>
    </row>
    <row r="32" spans="1:4" x14ac:dyDescent="0.35">
      <c r="A32" s="1" t="s">
        <v>34</v>
      </c>
      <c r="B32" s="6">
        <v>1458</v>
      </c>
      <c r="C32" s="6">
        <v>2164</v>
      </c>
      <c r="D32" s="6">
        <v>511</v>
      </c>
    </row>
    <row r="33" spans="1:4" x14ac:dyDescent="0.35">
      <c r="A33" s="15" t="s">
        <v>50</v>
      </c>
      <c r="B33" s="16">
        <f>SUM(B25:B32)</f>
        <v>89734</v>
      </c>
      <c r="C33" s="16">
        <f t="shared" ref="C33:D33" si="2">SUM(C25:C32)</f>
        <v>87192</v>
      </c>
      <c r="D33" s="16">
        <f t="shared" si="2"/>
        <v>85155</v>
      </c>
    </row>
    <row r="34" spans="1:4" x14ac:dyDescent="0.35">
      <c r="A34" s="61"/>
      <c r="B34" s="61"/>
      <c r="C34" s="61"/>
      <c r="D34" s="61"/>
    </row>
    <row r="35" spans="1:4" x14ac:dyDescent="0.35">
      <c r="A35" s="3" t="s">
        <v>65</v>
      </c>
      <c r="B35" s="48"/>
      <c r="C35" s="49"/>
      <c r="D35" s="50"/>
    </row>
    <row r="36" spans="1:4" x14ac:dyDescent="0.35">
      <c r="A36" s="1" t="s">
        <v>51</v>
      </c>
      <c r="B36" s="6">
        <v>77619</v>
      </c>
      <c r="C36" s="6">
        <v>97003</v>
      </c>
      <c r="D36" s="6">
        <v>146043</v>
      </c>
    </row>
    <row r="37" spans="1:4" x14ac:dyDescent="0.35">
      <c r="A37" s="1" t="s">
        <v>52</v>
      </c>
      <c r="B37" s="6">
        <v>23255</v>
      </c>
      <c r="C37" s="6">
        <v>21064</v>
      </c>
      <c r="D37" s="6">
        <v>28661</v>
      </c>
    </row>
    <row r="38" spans="1:4" x14ac:dyDescent="0.35">
      <c r="A38" s="1" t="s">
        <v>53</v>
      </c>
      <c r="B38" s="6">
        <v>590</v>
      </c>
      <c r="C38" s="6">
        <v>1888</v>
      </c>
      <c r="D38" s="6">
        <v>689</v>
      </c>
    </row>
    <row r="39" spans="1:4" x14ac:dyDescent="0.35">
      <c r="A39" s="1" t="s">
        <v>54</v>
      </c>
      <c r="B39" s="6">
        <v>9382</v>
      </c>
      <c r="C39" s="6">
        <v>7217</v>
      </c>
      <c r="D39" s="6">
        <v>6635</v>
      </c>
    </row>
    <row r="40" spans="1:4" x14ac:dyDescent="0.35">
      <c r="A40" s="1" t="s">
        <v>55</v>
      </c>
      <c r="B40" s="6">
        <v>7575</v>
      </c>
      <c r="C40" s="6">
        <v>9224</v>
      </c>
      <c r="D40" s="6">
        <v>8891</v>
      </c>
    </row>
    <row r="41" spans="1:4" x14ac:dyDescent="0.35">
      <c r="A41" s="1" t="s">
        <v>56</v>
      </c>
      <c r="B41" s="6">
        <v>12007</v>
      </c>
      <c r="C41" s="6">
        <v>12886</v>
      </c>
      <c r="D41" s="6">
        <v>13032</v>
      </c>
    </row>
    <row r="42" spans="1:4" x14ac:dyDescent="0.35">
      <c r="A42" s="15" t="s">
        <v>57</v>
      </c>
      <c r="B42" s="16">
        <f>SUM(B36:B41)+B33</f>
        <v>220162</v>
      </c>
      <c r="C42" s="16">
        <f t="shared" ref="C42:D42" si="3">SUM(C36:C41)+C33</f>
        <v>236474</v>
      </c>
      <c r="D42" s="16">
        <f t="shared" si="3"/>
        <v>289106</v>
      </c>
    </row>
    <row r="43" spans="1:4" x14ac:dyDescent="0.35">
      <c r="A43" s="61"/>
      <c r="B43" s="61"/>
      <c r="C43" s="61"/>
      <c r="D43" s="61"/>
    </row>
    <row r="44" spans="1:4" x14ac:dyDescent="0.35">
      <c r="A44" s="3" t="s">
        <v>61</v>
      </c>
      <c r="B44" s="48"/>
      <c r="C44" s="49"/>
      <c r="D44" s="50"/>
    </row>
    <row r="45" spans="1:4" x14ac:dyDescent="0.35">
      <c r="A45" s="1" t="s">
        <v>58</v>
      </c>
      <c r="B45" s="6">
        <v>124111</v>
      </c>
      <c r="C45" s="6">
        <v>108322</v>
      </c>
      <c r="D45" s="6">
        <v>125944</v>
      </c>
    </row>
    <row r="46" spans="1:4" x14ac:dyDescent="0.35">
      <c r="A46" s="1" t="s">
        <v>59</v>
      </c>
      <c r="B46" s="6">
        <v>3491</v>
      </c>
      <c r="C46" s="6">
        <v>3306</v>
      </c>
      <c r="D46" s="6">
        <v>1754</v>
      </c>
    </row>
    <row r="47" spans="1:4" x14ac:dyDescent="0.35">
      <c r="A47" s="15" t="s">
        <v>60</v>
      </c>
      <c r="B47" s="16">
        <f>B45+B46</f>
        <v>127602</v>
      </c>
      <c r="C47" s="16">
        <f t="shared" ref="C47:D47" si="4">C45+C46</f>
        <v>111628</v>
      </c>
      <c r="D47" s="16">
        <f t="shared" si="4"/>
        <v>127698</v>
      </c>
    </row>
  </sheetData>
  <mergeCells count="10">
    <mergeCell ref="B44:D44"/>
    <mergeCell ref="B3:D3"/>
    <mergeCell ref="A1:D1"/>
    <mergeCell ref="A43:D43"/>
    <mergeCell ref="A34:D34"/>
    <mergeCell ref="A12:D12"/>
    <mergeCell ref="A23:D23"/>
    <mergeCell ref="B13:D13"/>
    <mergeCell ref="B24:D24"/>
    <mergeCell ref="B35:D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C0DF2-69FA-4F34-AF9B-550240F2BBE1}">
  <dimension ref="A1:H32"/>
  <sheetViews>
    <sheetView topLeftCell="A10" zoomScale="107" workbookViewId="0">
      <selection activeCell="D27" sqref="D27"/>
    </sheetView>
  </sheetViews>
  <sheetFormatPr defaultRowHeight="14.5" x14ac:dyDescent="0.35"/>
  <cols>
    <col min="1" max="1" width="11.7265625" bestFit="1" customWidth="1"/>
    <col min="2" max="2" width="15.08984375" bestFit="1" customWidth="1"/>
    <col min="3" max="3" width="12" bestFit="1" customWidth="1"/>
    <col min="4" max="4" width="12.1796875" bestFit="1" customWidth="1"/>
    <col min="5" max="5" width="12.453125" bestFit="1" customWidth="1"/>
    <col min="6" max="6" width="12.08984375" bestFit="1" customWidth="1"/>
    <col min="7" max="7" width="12.54296875" bestFit="1" customWidth="1"/>
    <col min="8" max="9" width="12" bestFit="1" customWidth="1"/>
    <col min="10" max="10" width="15.36328125" bestFit="1" customWidth="1"/>
    <col min="11" max="12" width="12" bestFit="1" customWidth="1"/>
    <col min="13" max="13" width="16.26953125" bestFit="1" customWidth="1"/>
    <col min="14" max="14" width="11.7265625" bestFit="1" customWidth="1"/>
    <col min="15" max="15" width="17.36328125" bestFit="1" customWidth="1"/>
    <col min="16" max="16" width="14.7265625" bestFit="1" customWidth="1"/>
    <col min="17" max="17" width="16.26953125" bestFit="1" customWidth="1"/>
  </cols>
  <sheetData>
    <row r="1" spans="1:5" x14ac:dyDescent="0.35">
      <c r="A1" s="62" t="s">
        <v>68</v>
      </c>
      <c r="B1" s="63"/>
      <c r="C1" s="63"/>
      <c r="D1" s="63"/>
      <c r="E1" s="64"/>
    </row>
    <row r="2" spans="1:5" x14ac:dyDescent="0.35">
      <c r="A2" s="41" t="s">
        <v>77</v>
      </c>
      <c r="B2" s="42" t="s">
        <v>69</v>
      </c>
      <c r="C2" s="42" t="s">
        <v>90</v>
      </c>
      <c r="D2" s="42" t="s">
        <v>91</v>
      </c>
      <c r="E2" s="43" t="s">
        <v>92</v>
      </c>
    </row>
    <row r="3" spans="1:5" x14ac:dyDescent="0.35">
      <c r="A3" s="34" t="s">
        <v>78</v>
      </c>
      <c r="B3" s="1" t="s">
        <v>70</v>
      </c>
      <c r="C3" s="18">
        <f>'Balance Sheet'!B11/'Balance Sheet'!B33</f>
        <v>0.7073127242739653</v>
      </c>
      <c r="D3" s="18">
        <f>'Balance Sheet'!C11/'Balance Sheet'!C33</f>
        <v>0.67568125516102395</v>
      </c>
      <c r="E3" s="35">
        <f>'Balance Sheet'!D11/'Balance Sheet'!D33</f>
        <v>0.78891433268745226</v>
      </c>
    </row>
    <row r="4" spans="1:5" x14ac:dyDescent="0.35">
      <c r="A4" s="34" t="s">
        <v>79</v>
      </c>
      <c r="B4" s="1" t="s">
        <v>72</v>
      </c>
      <c r="C4" s="18">
        <f>'Balance Sheet'!B42/'Balance Sheet'!B47</f>
        <v>1.7253804799297816</v>
      </c>
      <c r="D4" s="18">
        <f>'Balance Sheet'!C42/'Balance Sheet'!C47</f>
        <v>2.1184111513240405</v>
      </c>
      <c r="E4" s="35">
        <f>'Balance Sheet'!D42/'Balance Sheet'!D47</f>
        <v>2.263982208022052</v>
      </c>
    </row>
    <row r="5" spans="1:5" x14ac:dyDescent="0.35">
      <c r="A5" s="34" t="s">
        <v>80</v>
      </c>
      <c r="B5" s="1" t="s">
        <v>73</v>
      </c>
      <c r="C5" s="20">
        <f>('Income statement'!B5-'Income statement'!B6)/'Income statement'!B5</f>
        <v>0.5151189096727915</v>
      </c>
      <c r="D5" s="20">
        <f>('Income statement'!C5-'Income statement'!C6)/'Income statement'!C5</f>
        <v>0.51393046396534947</v>
      </c>
      <c r="E5" s="36">
        <f>('Income statement'!D5-'Income statement'!D6)/'Income statement'!D5</f>
        <v>0.52635213733821495</v>
      </c>
    </row>
    <row r="6" spans="1:5" x14ac:dyDescent="0.35">
      <c r="A6" s="34" t="s">
        <v>80</v>
      </c>
      <c r="B6" s="1" t="s">
        <v>74</v>
      </c>
      <c r="C6" s="19">
        <f>'Income statement'!B14/'Income statement'!B5</f>
        <v>0.1346756758112494</v>
      </c>
      <c r="D6" s="19">
        <f>'Income statement'!C14/'Income statement'!C5</f>
        <v>8.8664320957089524E-2</v>
      </c>
      <c r="E6" s="37">
        <f>'Income statement'!D14/'Income statement'!D5</f>
        <v>8.1180893139211674E-2</v>
      </c>
    </row>
    <row r="7" spans="1:5" x14ac:dyDescent="0.35">
      <c r="A7" s="34" t="s">
        <v>80</v>
      </c>
      <c r="B7" s="1" t="s">
        <v>75</v>
      </c>
      <c r="C7" s="19">
        <f>'Income statement'!B28/'Income statement'!B5</f>
        <v>0.12160589507055324</v>
      </c>
      <c r="D7" s="19">
        <f>'Income statement'!C28/'Income statement'!C5</f>
        <v>4.2317801134843291E-2</v>
      </c>
      <c r="E7" s="37">
        <f>'Income statement'!D28/'Income statement'!D5</f>
        <v>3.439088003722434E-2</v>
      </c>
    </row>
    <row r="8" spans="1:5" x14ac:dyDescent="0.35">
      <c r="A8" s="34" t="s">
        <v>80</v>
      </c>
      <c r="B8" s="1" t="s">
        <v>71</v>
      </c>
      <c r="C8" s="19">
        <f>'Income statement'!B28/'Balance Sheet'!B22</f>
        <v>0.13941926133814886</v>
      </c>
      <c r="D8" s="19">
        <f>'Income statement'!C28/'Balance Sheet'!C22</f>
        <v>4.8612188381566321E-2</v>
      </c>
      <c r="E8" s="37">
        <f>'Income statement'!D28/'Balance Sheet'!D22</f>
        <v>3.3692095085459832E-2</v>
      </c>
    </row>
    <row r="9" spans="1:5" x14ac:dyDescent="0.35">
      <c r="A9" s="29" t="s">
        <v>81</v>
      </c>
      <c r="B9" s="38" t="s">
        <v>76</v>
      </c>
      <c r="C9" s="38"/>
      <c r="D9" s="39">
        <f>('Income statement'!C5-'Income statement'!B5)/'Income statement'!B5</f>
        <v>2.9420174263743207E-3</v>
      </c>
      <c r="E9" s="40">
        <f>('Income statement'!D5-'Income statement'!C5)/'Income statement'!C5</f>
        <v>2.1146396785027471E-2</v>
      </c>
    </row>
    <row r="12" spans="1:5" x14ac:dyDescent="0.35">
      <c r="A12" s="24" t="s">
        <v>88</v>
      </c>
      <c r="B12" s="25" t="s">
        <v>69</v>
      </c>
      <c r="C12" s="26" t="s">
        <v>82</v>
      </c>
    </row>
    <row r="13" spans="1:5" x14ac:dyDescent="0.35">
      <c r="A13" s="23">
        <v>2022</v>
      </c>
      <c r="B13" s="17" t="s">
        <v>83</v>
      </c>
      <c r="C13" s="30">
        <v>0.5151189096727915</v>
      </c>
    </row>
    <row r="14" spans="1:5" x14ac:dyDescent="0.35">
      <c r="A14" s="23">
        <v>2023</v>
      </c>
      <c r="B14" s="17" t="s">
        <v>83</v>
      </c>
      <c r="C14" s="30">
        <v>0.51393046396534947</v>
      </c>
    </row>
    <row r="15" spans="1:5" x14ac:dyDescent="0.35">
      <c r="A15" s="23">
        <v>2024</v>
      </c>
      <c r="B15" s="17" t="s">
        <v>83</v>
      </c>
      <c r="C15" s="30">
        <v>0.52635213733821495</v>
      </c>
    </row>
    <row r="16" spans="1:5" x14ac:dyDescent="0.35">
      <c r="A16" s="23">
        <v>2022</v>
      </c>
      <c r="B16" s="17" t="s">
        <v>84</v>
      </c>
      <c r="C16" s="30">
        <v>0.1346756758112494</v>
      </c>
    </row>
    <row r="17" spans="1:8" x14ac:dyDescent="0.35">
      <c r="A17" s="23">
        <v>2023</v>
      </c>
      <c r="B17" s="17" t="s">
        <v>84</v>
      </c>
      <c r="C17" s="30">
        <v>8.8664320957089524E-2</v>
      </c>
    </row>
    <row r="18" spans="1:8" x14ac:dyDescent="0.35">
      <c r="A18" s="23">
        <v>2024</v>
      </c>
      <c r="B18" s="17" t="s">
        <v>84</v>
      </c>
      <c r="C18" s="30">
        <v>8.1180893139211674E-2</v>
      </c>
    </row>
    <row r="19" spans="1:8" x14ac:dyDescent="0.35">
      <c r="A19" s="23">
        <v>2022</v>
      </c>
      <c r="B19" s="17" t="s">
        <v>75</v>
      </c>
      <c r="C19" s="30">
        <v>0.12160589507055324</v>
      </c>
    </row>
    <row r="20" spans="1:8" x14ac:dyDescent="0.35">
      <c r="A20" s="23">
        <v>2023</v>
      </c>
      <c r="B20" s="17" t="s">
        <v>75</v>
      </c>
      <c r="C20" s="30">
        <v>4.2317801134843291E-2</v>
      </c>
      <c r="F20" s="21" t="s">
        <v>87</v>
      </c>
    </row>
    <row r="21" spans="1:8" x14ac:dyDescent="0.35">
      <c r="A21" s="23">
        <v>2024</v>
      </c>
      <c r="B21" s="17" t="s">
        <v>75</v>
      </c>
      <c r="C21" s="30">
        <v>3.439088003722434E-2</v>
      </c>
      <c r="F21" t="s">
        <v>83</v>
      </c>
      <c r="G21" t="s">
        <v>75</v>
      </c>
      <c r="H21" t="s">
        <v>84</v>
      </c>
    </row>
    <row r="22" spans="1:8" x14ac:dyDescent="0.35">
      <c r="A22" s="23">
        <v>2022</v>
      </c>
      <c r="B22" s="17" t="s">
        <v>89</v>
      </c>
      <c r="C22" s="31">
        <v>0.7073127242739653</v>
      </c>
      <c r="E22" t="s">
        <v>86</v>
      </c>
      <c r="F22" s="66">
        <v>0.5151189096727915</v>
      </c>
      <c r="G22" s="66">
        <v>0.12160589507055324</v>
      </c>
      <c r="H22" s="66">
        <v>0.1346756758112494</v>
      </c>
    </row>
    <row r="23" spans="1:8" x14ac:dyDescent="0.35">
      <c r="A23" s="23">
        <v>2022</v>
      </c>
      <c r="B23" s="17" t="s">
        <v>72</v>
      </c>
      <c r="C23" s="31">
        <v>1.7253804799297816</v>
      </c>
    </row>
    <row r="24" spans="1:8" x14ac:dyDescent="0.35">
      <c r="A24" s="23">
        <v>2022</v>
      </c>
      <c r="B24" s="17" t="s">
        <v>71</v>
      </c>
      <c r="C24" s="30">
        <v>0.13941926133814886</v>
      </c>
    </row>
    <row r="25" spans="1:8" x14ac:dyDescent="0.35">
      <c r="A25" s="23">
        <v>2023</v>
      </c>
      <c r="B25" s="17" t="s">
        <v>89</v>
      </c>
      <c r="C25" s="31">
        <v>0.67568125516102395</v>
      </c>
    </row>
    <row r="26" spans="1:8" x14ac:dyDescent="0.35">
      <c r="A26" s="23">
        <v>2023</v>
      </c>
      <c r="B26" s="17" t="s">
        <v>72</v>
      </c>
      <c r="C26" s="31">
        <v>2.1184111513240405</v>
      </c>
    </row>
    <row r="27" spans="1:8" x14ac:dyDescent="0.35">
      <c r="A27" s="23">
        <v>2023</v>
      </c>
      <c r="B27" s="17" t="s">
        <v>71</v>
      </c>
      <c r="C27" s="30">
        <v>4.8612188381566321E-2</v>
      </c>
      <c r="E27" s="21" t="s">
        <v>86</v>
      </c>
      <c r="F27" s="21" t="s">
        <v>87</v>
      </c>
    </row>
    <row r="28" spans="1:8" x14ac:dyDescent="0.35">
      <c r="A28" s="23">
        <v>2024</v>
      </c>
      <c r="B28" s="17" t="s">
        <v>89</v>
      </c>
      <c r="C28" s="31">
        <v>0.78891433268745226</v>
      </c>
      <c r="E28" s="21" t="s">
        <v>85</v>
      </c>
      <c r="F28" t="s">
        <v>89</v>
      </c>
      <c r="G28" t="s">
        <v>72</v>
      </c>
      <c r="H28" t="s">
        <v>71</v>
      </c>
    </row>
    <row r="29" spans="1:8" x14ac:dyDescent="0.35">
      <c r="A29" s="23">
        <v>2024</v>
      </c>
      <c r="B29" s="17" t="s">
        <v>72</v>
      </c>
      <c r="C29" s="31">
        <v>2.263982208022052</v>
      </c>
      <c r="E29" s="22">
        <v>2022</v>
      </c>
      <c r="F29" s="66">
        <v>0.7073127242739653</v>
      </c>
      <c r="G29" s="66">
        <v>1.7253804799297816</v>
      </c>
      <c r="H29" s="66">
        <v>0.13941926133814886</v>
      </c>
    </row>
    <row r="30" spans="1:8" x14ac:dyDescent="0.35">
      <c r="A30" s="27">
        <v>2024</v>
      </c>
      <c r="B30" s="28" t="s">
        <v>71</v>
      </c>
      <c r="C30" s="32">
        <v>3.3692095085459832E-2</v>
      </c>
    </row>
    <row r="31" spans="1:8" x14ac:dyDescent="0.35">
      <c r="A31" s="27">
        <v>2023</v>
      </c>
      <c r="B31" s="28" t="s">
        <v>81</v>
      </c>
      <c r="C31" s="33">
        <v>2.9420174263743207E-3</v>
      </c>
    </row>
    <row r="32" spans="1:8" x14ac:dyDescent="0.35">
      <c r="A32" s="27">
        <v>2024</v>
      </c>
      <c r="B32" s="28" t="s">
        <v>81</v>
      </c>
      <c r="C32" s="33">
        <v>2.1146396785027471E-2</v>
      </c>
    </row>
  </sheetData>
  <mergeCells count="1">
    <mergeCell ref="A1:E1"/>
  </mergeCells>
  <pageMargins left="0.7" right="0.7" top="0.75" bottom="0.75" header="0.3" footer="0.3"/>
  <drawing r:id="rId3"/>
  <tableParts count="2">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6749-6E62-4623-A328-EFFE82330EF6}">
  <dimension ref="A2:L23"/>
  <sheetViews>
    <sheetView tabSelected="1" zoomScale="78" workbookViewId="0">
      <selection activeCell="Q18" sqref="Q18"/>
    </sheetView>
  </sheetViews>
  <sheetFormatPr defaultRowHeight="14.5" x14ac:dyDescent="0.35"/>
  <sheetData>
    <row r="2" spans="1:12" x14ac:dyDescent="0.35">
      <c r="A2" s="65"/>
      <c r="B2" s="65"/>
      <c r="C2" s="65"/>
      <c r="D2" s="65"/>
      <c r="E2" s="65"/>
      <c r="F2" s="65"/>
      <c r="G2" s="65"/>
      <c r="H2" s="65"/>
      <c r="I2" s="65"/>
      <c r="J2" s="65"/>
      <c r="K2" s="65"/>
      <c r="L2" s="65"/>
    </row>
    <row r="3" spans="1:12" x14ac:dyDescent="0.35">
      <c r="A3" s="65"/>
      <c r="B3" s="65"/>
      <c r="C3" s="65"/>
      <c r="D3" s="65"/>
      <c r="E3" s="65"/>
      <c r="F3" s="65"/>
      <c r="G3" s="65"/>
      <c r="H3" s="65"/>
      <c r="I3" s="65"/>
      <c r="J3" s="65"/>
      <c r="K3" s="65"/>
      <c r="L3" s="65"/>
    </row>
    <row r="4" spans="1:12" x14ac:dyDescent="0.35">
      <c r="A4" s="65"/>
      <c r="B4" s="65"/>
      <c r="C4" s="65"/>
      <c r="D4" s="65"/>
      <c r="E4" s="65"/>
      <c r="F4" s="65"/>
      <c r="G4" s="65"/>
      <c r="H4" s="65"/>
      <c r="I4" s="65"/>
      <c r="J4" s="65"/>
      <c r="K4" s="65"/>
      <c r="L4" s="65"/>
    </row>
    <row r="5" spans="1:12" x14ac:dyDescent="0.35">
      <c r="A5" s="65"/>
      <c r="B5" s="65"/>
      <c r="C5" s="65"/>
      <c r="D5" s="65"/>
      <c r="E5" s="65"/>
      <c r="F5" s="65"/>
      <c r="G5" s="65"/>
      <c r="H5" s="65"/>
      <c r="I5" s="65"/>
      <c r="J5" s="65"/>
      <c r="K5" s="65"/>
      <c r="L5" s="65"/>
    </row>
    <row r="6" spans="1:12" x14ac:dyDescent="0.35">
      <c r="A6" s="65"/>
      <c r="B6" s="65"/>
      <c r="C6" s="65"/>
      <c r="D6" s="65"/>
      <c r="E6" s="65"/>
      <c r="F6" s="65"/>
      <c r="G6" s="65"/>
      <c r="H6" s="65"/>
      <c r="I6" s="65"/>
      <c r="J6" s="65"/>
      <c r="K6" s="65"/>
      <c r="L6" s="65"/>
    </row>
    <row r="7" spans="1:12" x14ac:dyDescent="0.35">
      <c r="A7" s="65"/>
      <c r="B7" s="65"/>
      <c r="C7" s="65"/>
      <c r="D7" s="65"/>
      <c r="E7" s="65"/>
      <c r="F7" s="65"/>
      <c r="G7" s="65"/>
      <c r="H7" s="65"/>
      <c r="I7" s="65"/>
      <c r="J7" s="65"/>
      <c r="K7" s="65"/>
      <c r="L7" s="65"/>
    </row>
    <row r="8" spans="1:12" x14ac:dyDescent="0.35">
      <c r="A8" s="65"/>
      <c r="B8" s="65"/>
      <c r="C8" s="65"/>
      <c r="D8" s="65"/>
      <c r="E8" s="65"/>
      <c r="F8" s="65"/>
      <c r="G8" s="65"/>
      <c r="H8" s="65"/>
      <c r="I8" s="65"/>
      <c r="J8" s="65"/>
      <c r="K8" s="65"/>
      <c r="L8" s="65"/>
    </row>
    <row r="9" spans="1:12" x14ac:dyDescent="0.35">
      <c r="A9" s="65"/>
      <c r="B9" s="65"/>
      <c r="C9" s="65"/>
      <c r="D9" s="65"/>
      <c r="E9" s="65"/>
      <c r="F9" s="65"/>
      <c r="G9" s="65"/>
      <c r="H9" s="65"/>
      <c r="I9" s="65"/>
      <c r="J9" s="65"/>
      <c r="K9" s="65"/>
      <c r="L9" s="65"/>
    </row>
    <row r="10" spans="1:12" x14ac:dyDescent="0.35">
      <c r="A10" s="65"/>
      <c r="B10" s="65"/>
      <c r="C10" s="65"/>
      <c r="D10" s="65"/>
      <c r="E10" s="65"/>
      <c r="F10" s="65"/>
      <c r="G10" s="65"/>
      <c r="H10" s="65"/>
      <c r="I10" s="65"/>
      <c r="J10" s="65"/>
      <c r="K10" s="65"/>
      <c r="L10" s="65"/>
    </row>
    <row r="11" spans="1:12" x14ac:dyDescent="0.35">
      <c r="A11" s="65"/>
      <c r="B11" s="65"/>
      <c r="C11" s="65"/>
      <c r="D11" s="65"/>
      <c r="E11" s="65"/>
      <c r="F11" s="65"/>
      <c r="G11" s="65"/>
      <c r="H11" s="65"/>
      <c r="I11" s="65"/>
      <c r="J11" s="65"/>
      <c r="K11" s="65"/>
      <c r="L11" s="65"/>
    </row>
    <row r="12" spans="1:12" x14ac:dyDescent="0.35">
      <c r="A12" s="65"/>
      <c r="B12" s="65"/>
      <c r="C12" s="65"/>
      <c r="D12" s="65"/>
      <c r="E12" s="65"/>
      <c r="F12" s="65"/>
      <c r="G12" s="65"/>
      <c r="H12" s="65"/>
      <c r="I12" s="65"/>
      <c r="J12" s="65"/>
      <c r="K12" s="65"/>
      <c r="L12" s="65"/>
    </row>
    <row r="13" spans="1:12" x14ac:dyDescent="0.35">
      <c r="A13" s="65"/>
      <c r="B13" s="65"/>
      <c r="C13" s="65"/>
      <c r="D13" s="65"/>
      <c r="E13" s="65"/>
      <c r="F13" s="65"/>
      <c r="G13" s="65"/>
      <c r="H13" s="65"/>
      <c r="I13" s="65"/>
      <c r="J13" s="65"/>
      <c r="K13" s="65"/>
      <c r="L13" s="65"/>
    </row>
    <row r="14" spans="1:12" x14ac:dyDescent="0.35">
      <c r="A14" s="65"/>
      <c r="B14" s="65"/>
      <c r="C14" s="65"/>
      <c r="D14" s="65"/>
      <c r="E14" s="65"/>
      <c r="F14" s="65"/>
      <c r="G14" s="65"/>
      <c r="H14" s="65"/>
      <c r="I14" s="65"/>
      <c r="J14" s="65"/>
      <c r="K14" s="65"/>
      <c r="L14" s="65"/>
    </row>
    <row r="15" spans="1:12" x14ac:dyDescent="0.35">
      <c r="A15" s="65"/>
      <c r="B15" s="65"/>
      <c r="C15" s="65"/>
      <c r="D15" s="65"/>
      <c r="E15" s="65"/>
      <c r="F15" s="65"/>
      <c r="G15" s="65"/>
      <c r="H15" s="65"/>
      <c r="I15" s="65"/>
      <c r="J15" s="65"/>
      <c r="K15" s="65"/>
      <c r="L15" s="65"/>
    </row>
    <row r="16" spans="1:12" x14ac:dyDescent="0.35">
      <c r="A16" s="65"/>
      <c r="B16" s="65"/>
      <c r="C16" s="65"/>
      <c r="D16" s="65"/>
      <c r="E16" s="65"/>
      <c r="F16" s="65"/>
      <c r="G16" s="65"/>
      <c r="H16" s="65"/>
      <c r="I16" s="65"/>
      <c r="J16" s="65"/>
      <c r="K16" s="65"/>
      <c r="L16" s="65"/>
    </row>
    <row r="17" spans="1:12" x14ac:dyDescent="0.35">
      <c r="A17" s="65"/>
      <c r="B17" s="65"/>
      <c r="C17" s="65"/>
      <c r="D17" s="65"/>
      <c r="E17" s="65"/>
      <c r="F17" s="65"/>
      <c r="G17" s="65"/>
      <c r="H17" s="65"/>
      <c r="I17" s="65"/>
      <c r="J17" s="65"/>
      <c r="K17" s="65"/>
      <c r="L17" s="65"/>
    </row>
    <row r="18" spans="1:12" x14ac:dyDescent="0.35">
      <c r="A18" s="65"/>
      <c r="B18" s="65"/>
      <c r="C18" s="65"/>
      <c r="D18" s="65"/>
      <c r="E18" s="65"/>
      <c r="F18" s="65"/>
      <c r="G18" s="65"/>
      <c r="H18" s="65"/>
      <c r="I18" s="65"/>
      <c r="J18" s="65"/>
      <c r="K18" s="65"/>
      <c r="L18" s="65"/>
    </row>
    <row r="19" spans="1:12" x14ac:dyDescent="0.35">
      <c r="A19" s="65"/>
      <c r="B19" s="65"/>
      <c r="C19" s="65"/>
      <c r="D19" s="65"/>
      <c r="E19" s="65"/>
      <c r="F19" s="65"/>
      <c r="G19" s="65"/>
      <c r="H19" s="65"/>
      <c r="I19" s="65"/>
      <c r="J19" s="65"/>
      <c r="K19" s="65"/>
      <c r="L19" s="65"/>
    </row>
    <row r="20" spans="1:12" x14ac:dyDescent="0.35">
      <c r="A20" s="65"/>
      <c r="B20" s="65"/>
      <c r="C20" s="65"/>
      <c r="D20" s="65"/>
      <c r="E20" s="65"/>
      <c r="F20" s="65"/>
      <c r="G20" s="65"/>
      <c r="H20" s="65"/>
      <c r="I20" s="65"/>
      <c r="J20" s="65"/>
      <c r="K20" s="65"/>
      <c r="L20" s="65"/>
    </row>
    <row r="21" spans="1:12" x14ac:dyDescent="0.35">
      <c r="A21" s="65"/>
      <c r="B21" s="65"/>
      <c r="C21" s="65"/>
      <c r="D21" s="65"/>
      <c r="E21" s="65"/>
      <c r="F21" s="65"/>
      <c r="G21" s="65"/>
      <c r="H21" s="65"/>
      <c r="I21" s="65"/>
      <c r="J21" s="65"/>
      <c r="K21" s="65"/>
      <c r="L21" s="65"/>
    </row>
    <row r="22" spans="1:12" x14ac:dyDescent="0.35">
      <c r="A22" s="65"/>
      <c r="B22" s="65"/>
      <c r="C22" s="65"/>
      <c r="D22" s="65"/>
      <c r="E22" s="65"/>
      <c r="F22" s="65"/>
      <c r="G22" s="65"/>
      <c r="H22" s="65"/>
      <c r="I22" s="65"/>
      <c r="J22" s="65"/>
      <c r="K22" s="65"/>
      <c r="L22" s="65"/>
    </row>
    <row r="23" spans="1:12" x14ac:dyDescent="0.35">
      <c r="A23" s="65"/>
      <c r="B23" s="65"/>
      <c r="C23" s="65"/>
      <c r="D23" s="65"/>
      <c r="E23" s="65"/>
      <c r="F23" s="65"/>
      <c r="G23" s="65"/>
      <c r="H23" s="65"/>
      <c r="I23" s="65"/>
      <c r="J23" s="65"/>
      <c r="K23" s="65"/>
      <c r="L23" s="65"/>
    </row>
  </sheetData>
  <mergeCells count="1">
    <mergeCell ref="A2:L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E7907-9B65-430B-8346-1D2D4EE1C85C}">
  <dimension ref="A1:A14"/>
  <sheetViews>
    <sheetView zoomScale="99" workbookViewId="0">
      <selection activeCell="A9" sqref="A9"/>
    </sheetView>
  </sheetViews>
  <sheetFormatPr defaultRowHeight="14.5" x14ac:dyDescent="0.35"/>
  <cols>
    <col min="1" max="1" width="76.453125" customWidth="1"/>
  </cols>
  <sheetData>
    <row r="1" spans="1:1" ht="17" x14ac:dyDescent="0.4">
      <c r="A1" s="46" t="s">
        <v>99</v>
      </c>
    </row>
    <row r="2" spans="1:1" ht="30" customHeight="1" x14ac:dyDescent="0.35">
      <c r="A2" s="47" t="s">
        <v>93</v>
      </c>
    </row>
    <row r="3" spans="1:1" ht="29" x14ac:dyDescent="0.35">
      <c r="A3" s="9" t="s">
        <v>93</v>
      </c>
    </row>
    <row r="4" spans="1:1" ht="29" x14ac:dyDescent="0.35">
      <c r="A4" s="9" t="s">
        <v>94</v>
      </c>
    </row>
    <row r="5" spans="1:1" ht="29" x14ac:dyDescent="0.35">
      <c r="A5" s="9" t="s">
        <v>95</v>
      </c>
    </row>
    <row r="6" spans="1:1" ht="29" x14ac:dyDescent="0.35">
      <c r="A6" s="9" t="s">
        <v>96</v>
      </c>
    </row>
    <row r="7" spans="1:1" ht="29" x14ac:dyDescent="0.35">
      <c r="A7" s="9" t="s">
        <v>97</v>
      </c>
    </row>
    <row r="8" spans="1:1" ht="17" x14ac:dyDescent="0.4">
      <c r="A8" s="45" t="s">
        <v>98</v>
      </c>
    </row>
    <row r="9" spans="1:1" ht="72.5" x14ac:dyDescent="0.35">
      <c r="A9" s="44" t="s">
        <v>100</v>
      </c>
    </row>
    <row r="10" spans="1:1" ht="17" x14ac:dyDescent="0.4">
      <c r="A10" s="45" t="s">
        <v>101</v>
      </c>
    </row>
    <row r="11" spans="1:1" x14ac:dyDescent="0.35">
      <c r="A11" s="1" t="s">
        <v>102</v>
      </c>
    </row>
    <row r="12" spans="1:1" x14ac:dyDescent="0.35">
      <c r="A12" s="1" t="s">
        <v>103</v>
      </c>
    </row>
    <row r="13" spans="1:1" x14ac:dyDescent="0.35">
      <c r="A13" s="1" t="s">
        <v>104</v>
      </c>
    </row>
    <row r="14" spans="1:1" x14ac:dyDescent="0.35">
      <c r="A14" s="1"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Income statement</vt:lpstr>
      <vt:lpstr>Balance Sheet</vt:lpstr>
      <vt:lpstr>Financial Ratios</vt:lpstr>
      <vt:lpstr>Charts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DANIEL DE LA GARZA PENA</dc:creator>
  <cp:lastModifiedBy>CESAR DANIEL DE LA GARZA PENA</cp:lastModifiedBy>
  <dcterms:created xsi:type="dcterms:W3CDTF">2026-03-12T16:46:26Z</dcterms:created>
  <dcterms:modified xsi:type="dcterms:W3CDTF">2026-03-24T20:53:39Z</dcterms:modified>
</cp:coreProperties>
</file>